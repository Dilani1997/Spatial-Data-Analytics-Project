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abb60245a6455c" /></Relationships>
</file>

<file path=xl/workbook.xml><?xml version="1.0" encoding="utf-8"?>
<x:workbook xmlns:x="http://schemas.openxmlformats.org/spreadsheetml/2006/main">
  <x:sheets>
    <x:sheet xmlns:r="http://schemas.openxmlformats.org/officeDocument/2006/relationships" name="Executive Summary" sheetId="1" r:id="R3e957d04d4fc4959"/>
    <x:sheet xmlns:r="http://schemas.openxmlformats.org/officeDocument/2006/relationships" name="Error Register" sheetId="2" r:id="R8234c6d8ab3c4f25"/>
    <x:sheet xmlns:r="http://schemas.openxmlformats.org/officeDocument/2006/relationships" name="Review Notes" sheetId="3" r:id="Rf66cf8935fca4fd9"/>
    <x:sheet xmlns:r="http://schemas.openxmlformats.org/officeDocument/2006/relationships" name="All Query Reviews" sheetId="4" r:id="R6ad759f27d1243a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b/>
      <x:sz val="11"/>
      <x:color rgb="FFFFFFFF"/>
      <x:name val="Arial"/>
    </x:font>
    <x:font>
      <x:b/>
      <x:sz val="17"/>
      <x:name val="Arial"/>
    </x:font>
    <x:font>
      <x:b/>
      <x:sz val="11"/>
      <x:name val="Arial"/>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1">
    <x:border/>
  </x:borders>
  <x:cellStyleXfs count="1">
    <x:xf numFmtId="0" fontId="0" fillId="0" borderId="0"/>
  </x:cellStyleXfs>
  <x:cellXfs count="15">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4" fillId="0" borderId="0" xfId="0" applyNumberFormat="1" applyFont="1" applyFill="1" applyBorder="1" applyAlignment="1">
      <x:alignment vertical="top"/>
    </x:xf>
  </x:cellXfs>
  <x:cellStyles count="1">
    <x:cellStyle name="Normal" xfId="0"/>
  </x:cellStyles>
  <x:dxfs count="1">
    <x:dxf>
      <x:font>
        <x:b/>
        <x:color rgb="FF9C0006"/>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8c525ef3124c24" /><Relationship Type="http://schemas.openxmlformats.org/officeDocument/2006/relationships/theme" Target="/xl/theme/theme1.xml" Id="R1d2e8975e52b4962" /><Relationship Type="http://schemas.microsoft.com/office/2022/11/relationships/FeaturePropertyBag" Target="/xl/featurePropertyBag/featurePropertyBag.xml" Id="Re94f8b4b67674d7f" /><Relationship Type="http://schemas.openxmlformats.org/officeDocument/2006/relationships/sharedStrings" Target="/xl/sharedStrings.xml" Id="R5942c23f735145ad" /><Relationship Type="http://schemas.openxmlformats.org/officeDocument/2006/relationships/worksheet" Target="/xl/worksheets/sheet1.xml" Id="R3e957d04d4fc4959" /><Relationship Type="http://schemas.openxmlformats.org/officeDocument/2006/relationships/worksheet" Target="/xl/worksheets/sheet2.xml" Id="R8234c6d8ab3c4f25" /><Relationship Type="http://schemas.openxmlformats.org/officeDocument/2006/relationships/worksheet" Target="/xl/worksheets/sheet3.xml" Id="Rf66cf8935fca4fd9" /><Relationship Type="http://schemas.openxmlformats.org/officeDocument/2006/relationships/worksheet" Target="/xl/worksheets/sheet4.xml" Id="R6ad759f27d1243a4" /></Relationships>
</file>

<file path=xl/drawings/_rels/drawing1.xml.rels>&#65279;<?xml version="1.0" encoding="utf-8"?><Relationships xmlns="http://schemas.openxmlformats.org/package/2006/relationships"><Relationship Type="http://schemas.openxmlformats.org/officeDocument/2006/relationships/chart" Target="/xl/drawings/charts/chart1.xml" Id="Ra43c57aab6e2425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Recorded outcomes by domain</a:t>
            </a:r>
          </a:p>
        </c:rich>
      </c:tx>
      <c:overlay val="0"/>
    </c:title>
    <c:plotArea>
      <c:barChart>
        <c:barDir val="col"/>
        <c:varyColors val="0"/>
        <c:ser>
          <c:idx val="0"/>
          <c:order val="0"/>
          <c:tx>
            <c:v>Pass</c:v>
          </c:tx>
          <c:spPr>
            <a:solidFill xmlns:a="http://schemas.openxmlformats.org/drawingml/2006/main">
              <a:srgbClr val="5B7FA3"/>
            </a:solidFill>
          </c:spPr>
          <c:cat>
            <c:strRef>
              <c:f>'Executive Summary'!$A$13:$A$15</c:f>
              <c:strCache>
                <c:ptCount val="0"/>
              </c:strCache>
            </c:strRef>
          </c:cat>
          <c:val>
            <c:numRef>
              <c:f>'Executive Summary'!$B$13:$B$15</c:f>
              <c:numCache>
                <c:formatCode>General</c:formatCode>
                <c:ptCount val="0"/>
              </c:numCache>
            </c:numRef>
          </c:val>
        </c:ser>
        <c:ser>
          <c:idx val="1"/>
          <c:order val="1"/>
          <c:tx>
            <c:v>Fail</c:v>
          </c:tx>
          <c:spPr>
            <a:solidFill xmlns:a="http://schemas.openxmlformats.org/drawingml/2006/main">
              <a:srgbClr val="C0504D"/>
            </a:solidFill>
          </c:spPr>
          <c:cat>
            <c:strRef>
              <c:f>'Executive Summary'!$A$13:$A$15</c:f>
              <c:strCache>
                <c:ptCount val="0"/>
              </c:strCache>
            </c:strRef>
          </c:cat>
          <c:val>
            <c:numRef>
              <c:f>'Executive Summary'!$C$13:$C$15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5</xdr:row>
      <xdr:rowOff>0</xdr:rowOff>
    </xdr:from>
    <xdr:to>
      <xdr:col>13</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3c57aab6e24255"/>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Errors" displayName="Errors" ref="A1:H4" headerRowCount="1" totalsRowCount="0" totalsRowShown="0">
  <x:tableColumns count="8">
    <x:tableColumn id="1" name="Query ID"/>
    <x:tableColumn id="2" name="Method"/>
    <x:tableColumn id="3" name="Issue"/>
    <x:tableColumn id="4" name="Question (EN)"/>
    <x:tableColumn id="5" name="Observed result and evidence"/>
    <x:tableColumn id="6" name="Recommended correction"/>
    <x:tableColumn id="7" name="Retest acceptance"/>
    <x:tableColumn id="8" name="Resolution status"/>
  </x:tableColumns>
  <x:tableStyleInfo name="TableStyleMedium2" showFirstColumn="0" showLastColumn="0" showRowStripes="1" showColumnStripes="0"/>
</x:table>
</file>

<file path=xl/tables/table2.xml><?xml version="1.0" encoding="utf-8"?>
<x:table xmlns:x="http://schemas.openxmlformats.org/spreadsheetml/2006/main" id="3" name="Notes" displayName="Notes" ref="A1:E3" headerRowCount="1" totalsRowCount="0" totalsRowShown="0">
  <x:tableColumns count="5">
    <x:tableColumn id="1" name="Query ID"/>
    <x:tableColumn id="2" name="Recorded verdict"/>
    <x:tableColumn id="3" name="Qualification"/>
    <x:tableColumn id="4" name="Recommended follow-up"/>
    <x:tableColumn id="5" name="Evidence file"/>
  </x:tableColumns>
  <x:tableStyleInfo name="TableStyleMedium2" showFirstColumn="0" showLastColumn="0" showRowStripes="1" showColumnStripes="0"/>
</x:table>
</file>

<file path=xl/tables/table3.xml><?xml version="1.0" encoding="utf-8"?>
<x:table xmlns:x="http://schemas.openxmlformats.org/spreadsheetml/2006/main" id="1" name="AllReviews" displayName="AllReviews" ref="A1:Z71" headerRowCount="1" totalsRowCount="0" totalsRowShown="0">
  <x:tableColumns count="26">
    <x:tableColumn id="1" name="Query ID"/>
    <x:tableColumn id="2" name="Domain"/>
    <x:tableColumn id="3" name="Method"/>
    <x:tableColumn id="4" name="Difficulty"/>
    <x:tableColumn id="5" name="Question (EN)"/>
    <x:tableColumn id="6" name="Expected rows"/>
    <x:tableColumn id="7" name="Supplied result"/>
    <x:tableColumn id="8" name="Verification result"/>
    <x:tableColumn id="9" name="Supplied rows"/>
    <x:tableColumn id="10" name="Verification rows"/>
    <x:tableColumn id="11" name="Row count match"/>
    <x:tableColumn id="12" name="Column match"/>
    <x:tableColumn id="13" name="Value/content match"/>
    <x:tableColumn id="14" name="Duplicate rows"/>
    <x:tableColumn id="15" name="Missing cells"/>
    <x:tableColumn id="16" name="Negative numeric cells"/>
    <x:tableColumn id="17" name="Negative values by column"/>
    <x:tableColumn id="18" name="Sentinel values"/>
    <x:tableColumn id="19" name="Supplied query runs"/>
    <x:tableColumn id="20" name="Logic answers the question"/>
    <x:tableColumn id="21" name="Output / visualisation matches"/>
    <x:tableColumn id="22" name="Tables, fields and joins"/>
    <x:tableColumn id="23" name="Spatial/domain correctness"/>
    <x:tableColumn id="24" name="Overall verdict"/>
    <x:tableColumn id="25" name="Requires client clarification or adjudication"/>
    <x:tableColumn id="26" name="Decisive evidence / reviewer just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b50d76e6d7649b3" /></Relationships>
</file>

<file path=xl/worksheets/_rels/sheet2.xml.rels>&#65279;<?xml version="1.0" encoding="utf-8"?><Relationships xmlns="http://schemas.openxmlformats.org/package/2006/relationships"><Relationship Type="http://schemas.openxmlformats.org/officeDocument/2006/relationships/table" Target="/xl/tables/table1.xml" Id="R4374cd1b2f904796" /></Relationships>
</file>

<file path=xl/worksheets/_rels/sheet3.xml.rels>&#65279;<?xml version="1.0" encoding="utf-8"?><Relationships xmlns="http://schemas.openxmlformats.org/package/2006/relationships"><Relationship Type="http://schemas.openxmlformats.org/officeDocument/2006/relationships/table" Target="/xl/tables/table2.xml" Id="Re1ee83057f884594" /></Relationships>
</file>

<file path=xl/worksheets/_rels/sheet4.xml.rels>&#65279;<?xml version="1.0" encoding="utf-8"?><Relationships xmlns="http://schemas.openxmlformats.org/package/2006/relationships"><Relationship Type="http://schemas.openxmlformats.org/officeDocument/2006/relationships/table" Target="/xl/tables/table3.xml" Id="R083a0b845e934da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4"/>
      <x:c r="B1" s="4"/>
      <x:c r="C1" s="4"/>
      <x:c r="D1" s="4"/>
      <x:c r="E1" s="4"/>
      <x:c r="F1" s="4"/>
      <x:c r="G1" s="4"/>
      <x:c r="H1" s="4"/>
      <x:c r="I1" s="4"/>
      <x:c r="J1" s="4"/>
      <x:c r="K1" s="4"/>
      <x:c r="L1" s="4"/>
    </x:row>
    <x:row r="2" ht="32" customHeight="1">
      <x:c r="A2" s="11" t="str">
        <x:v>GeoQueryBench new query error report</x:v>
      </x:c>
      <x:c r="B2" s="4"/>
      <x:c r="C2" s="4"/>
      <x:c r="D2" s="4"/>
      <x:c r="E2" s="4"/>
      <x:c r="F2" s="4"/>
      <x:c r="G2" s="4"/>
      <x:c r="H2" s="4"/>
      <x:c r="I2" s="4"/>
      <x:c r="J2" s="4"/>
      <x:c r="K2" s="4"/>
      <x:c r="L2" s="4"/>
    </x:row>
    <x:row r="3">
      <x:c r="A3" s="4"/>
      <x:c r="B3" s="4"/>
      <x:c r="C3" s="4"/>
      <x:c r="D3" s="4"/>
      <x:c r="E3" s="4"/>
      <x:c r="F3" s="4"/>
      <x:c r="G3" s="4"/>
      <x:c r="H3" s="4"/>
      <x:c r="I3" s="4"/>
      <x:c r="J3" s="4"/>
      <x:c r="K3" s="4"/>
      <x:c r="L3" s="4"/>
    </x:row>
    <x:row r="4">
      <x:c r="A4" s="4" t="str">
        <x:v>Dilani’s assigned set. Compiled 23 September 2026 from the saved validation dated 20 September 2026.</x:v>
      </x:c>
      <x:c r="B4" s="4"/>
      <x:c r="C4" s="4"/>
      <x:c r="D4" s="4"/>
      <x:c r="E4" s="4"/>
      <x:c r="F4" s="4"/>
      <x:c r="G4" s="4"/>
      <x:c r="H4" s="4"/>
      <x:c r="I4" s="4"/>
      <x:c r="J4" s="4"/>
      <x:c r="K4" s="4"/>
      <x:c r="L4" s="4"/>
    </x:row>
    <x:row r="5">
      <x:c r="A5" s="4"/>
      <x:c r="B5" s="4"/>
      <x:c r="C5" s="4"/>
      <x:c r="D5" s="4"/>
      <x:c r="E5" s="4"/>
      <x:c r="F5" s="4"/>
      <x:c r="G5" s="4"/>
      <x:c r="H5" s="4"/>
      <x:c r="I5" s="4"/>
      <x:c r="J5" s="4"/>
      <x:c r="K5" s="4"/>
      <x:c r="L5" s="4"/>
    </x:row>
    <x:row r="6" ht="28" customHeight="1">
      <x:c r="A6" s="13" t="str">
        <x:v>Recorded outcome</x:v>
      </x:c>
      <x:c r="B6" s="13" t="str">
        <x:v>Questions</x:v>
      </x:c>
      <x:c r="C6" s="4"/>
      <x:c r="D6" s="4"/>
      <x:c r="E6" s="4"/>
      <x:c r="F6" s="4"/>
      <x:c r="G6" s="4"/>
      <x:c r="H6" s="4"/>
      <x:c r="I6" s="4"/>
      <x:c r="J6" s="4"/>
      <x:c r="K6" s="4"/>
      <x:c r="L6" s="4"/>
    </x:row>
    <x:row r="7">
      <x:c r="A7" s="4" t="str">
        <x:v>Pass</x:v>
      </x:c>
      <x:c r="B7" s="4" t="n">
        <x:f>COUNTIF('All Query Reviews'!X2:X71,"Pass")</x:f>
        <x:v>67</x:v>
      </x:c>
      <x:c r="C7" s="4"/>
      <x:c r="D7" s="4"/>
      <x:c r="E7" s="4"/>
      <x:c r="F7" s="4"/>
      <x:c r="G7" s="4"/>
      <x:c r="H7" s="4"/>
      <x:c r="I7" s="4"/>
      <x:c r="J7" s="4"/>
      <x:c r="K7" s="4"/>
      <x:c r="L7" s="4"/>
    </x:row>
    <x:row r="8">
      <x:c r="A8" s="4" t="str">
        <x:v>Fail</x:v>
      </x:c>
      <x:c r="B8" s="4" t="n">
        <x:f>COUNTIF('All Query Reviews'!X2:X71,"Fail")</x:f>
        <x:v>3</x:v>
      </x:c>
      <x:c r="C8" s="4"/>
      <x:c r="D8" s="4"/>
      <x:c r="E8" s="4"/>
      <x:c r="F8" s="4"/>
      <x:c r="G8" s="4"/>
      <x:c r="H8" s="4"/>
      <x:c r="I8" s="4"/>
      <x:c r="J8" s="4"/>
      <x:c r="K8" s="4"/>
      <x:c r="L8" s="4"/>
    </x:row>
    <x:row r="9">
      <x:c r="A9" s="4" t="str">
        <x:v>Total</x:v>
      </x:c>
      <x:c r="B9" s="4" t="n">
        <x:f>SUM(B7:B8)</x:f>
        <x:v>70</x:v>
      </x:c>
      <x:c r="C9" s="4"/>
      <x:c r="D9" s="4"/>
      <x:c r="E9" s="4"/>
      <x:c r="F9" s="4"/>
      <x:c r="G9" s="4"/>
      <x:c r="H9" s="4"/>
      <x:c r="I9" s="4"/>
      <x:c r="J9" s="4"/>
      <x:c r="K9" s="4"/>
      <x:c r="L9" s="4"/>
    </x:row>
    <x:row r="10">
      <x:c r="A10" s="4"/>
      <x:c r="B10" s="4"/>
      <x:c r="C10" s="4"/>
      <x:c r="D10" s="4"/>
      <x:c r="E10" s="4"/>
      <x:c r="F10" s="4"/>
      <x:c r="G10" s="4"/>
      <x:c r="H10" s="4"/>
      <x:c r="I10" s="4"/>
      <x:c r="J10" s="4"/>
      <x:c r="K10" s="4"/>
      <x:c r="L10" s="4"/>
    </x:row>
    <x:row r="11">
      <x:c r="A11" s="4"/>
      <x:c r="B11" s="4"/>
      <x:c r="C11" s="4"/>
      <x:c r="D11" s="4"/>
      <x:c r="E11" s="4"/>
      <x:c r="F11" s="4"/>
      <x:c r="G11" s="4"/>
      <x:c r="H11" s="4"/>
      <x:c r="I11" s="4"/>
      <x:c r="J11" s="4"/>
      <x:c r="K11" s="4"/>
      <x:c r="L11" s="4"/>
    </x:row>
    <x:row r="12" ht="28" customHeight="1">
      <x:c r="A12" s="13" t="str">
        <x:v>Domain</x:v>
      </x:c>
      <x:c r="B12" s="13" t="str">
        <x:v>Pass</x:v>
      </x:c>
      <x:c r="C12" s="13" t="str">
        <x:v>Fail</x:v>
      </x:c>
      <x:c r="D12" s="13" t="str">
        <x:v>Total</x:v>
      </x:c>
      <x:c r="E12" s="4"/>
      <x:c r="F12" s="4"/>
      <x:c r="G12" s="4"/>
      <x:c r="H12" s="4"/>
      <x:c r="I12" s="4"/>
      <x:c r="J12" s="4"/>
      <x:c r="K12" s="4"/>
      <x:c r="L12" s="4"/>
    </x:row>
    <x:row r="13">
      <x:c r="A13" s="4" t="str">
        <x:v>NS</x:v>
      </x:c>
      <x:c r="B13" s="4" t="n">
        <x:f>COUNTIFS('All Query Reviews'!B2:B71,A13,'All Query Reviews'!X2:X71,"Pass")</x:f>
        <x:v>38</x:v>
      </x:c>
      <x:c r="C13" s="4" t="n">
        <x:f>COUNTIFS('All Query Reviews'!B2:B71,A13,'All Query Reviews'!X2:X71,"Fail")</x:f>
        <x:v>1</x:v>
      </x:c>
      <x:c r="D13" s="4" t="n">
        <x:f>SUM(B13:C13)</x:f>
        <x:v>39</x:v>
      </x:c>
      <x:c r="E13" s="4"/>
      <x:c r="F13" s="4"/>
      <x:c r="G13" s="4"/>
      <x:c r="H13" s="4"/>
      <x:c r="I13" s="4"/>
      <x:c r="J13" s="4"/>
      <x:c r="K13" s="4"/>
      <x:c r="L13" s="4"/>
    </x:row>
    <x:row r="14">
      <x:c r="A14" s="4" t="str">
        <x:v>CD</x:v>
      </x:c>
      <x:c r="B14" s="4" t="n">
        <x:f>COUNTIFS('All Query Reviews'!B2:B71,A14,'All Query Reviews'!X2:X71,"Pass")</x:f>
        <x:v>29</x:v>
      </x:c>
      <x:c r="C14" s="4" t="n">
        <x:f>COUNTIFS('All Query Reviews'!B2:B71,A14,'All Query Reviews'!X2:X71,"Fail")</x:f>
        <x:v>2</x:v>
      </x:c>
      <x:c r="D14" s="4" t="n">
        <x:f>SUM(B14:C14)</x:f>
        <x:v>31</x:v>
      </x:c>
      <x:c r="E14" s="4"/>
      <x:c r="F14" s="4"/>
      <x:c r="G14" s="4"/>
      <x:c r="H14" s="4"/>
      <x:c r="I14" s="4"/>
      <x:c r="J14" s="4"/>
      <x:c r="K14" s="4"/>
      <x:c r="L14" s="4"/>
    </x:row>
    <x:row r="15">
      <x:c r="A15" s="4" t="str">
        <x:v>RB</x:v>
      </x:c>
      <x:c r="B15" s="4" t="n">
        <x:f>COUNTIFS('All Query Reviews'!B2:B71,A15,'All Query Reviews'!X2:X71,"Pass")</x:f>
        <x:v>0</x:v>
      </x:c>
      <x:c r="C15" s="4" t="n">
        <x:f>COUNTIFS('All Query Reviews'!B2:B71,A15,'All Query Reviews'!X2:X71,"Fail")</x:f>
        <x:v>0</x:v>
      </x:c>
      <x:c r="D15" s="4" t="n">
        <x:f>SUM(B15:C15)</x:f>
        <x:v>0</x:v>
      </x:c>
      <x:c r="E15" s="4"/>
      <x:c r="F15" s="4"/>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x:c r="A18" s="4"/>
      <x:c r="B18" s="4"/>
      <x:c r="C18" s="4"/>
      <x:c r="D18" s="4"/>
      <x:c r="E18" s="4"/>
      <x:c r="F18" s="4"/>
      <x:c r="G18" s="4"/>
      <x:c r="H18" s="4"/>
      <x:c r="I18" s="4"/>
      <x:c r="J18" s="4"/>
      <x:c r="K18" s="4"/>
      <x:c r="L18" s="4"/>
    </x:row>
    <x:row r="19">
      <x:c r="A19" s="4"/>
      <x:c r="B19" s="4"/>
      <x:c r="C19" s="4"/>
      <x:c r="D19" s="4"/>
      <x:c r="E19" s="4"/>
      <x:c r="F19" s="4"/>
      <x:c r="G19" s="4"/>
      <x:c r="H19" s="4"/>
      <x:c r="I19" s="4"/>
      <x:c r="J19" s="4"/>
      <x:c r="K19" s="4"/>
      <x:c r="L19" s="4"/>
    </x:row>
    <x:row r="20">
      <x:c r="A20" s="4"/>
      <x:c r="B20" s="4"/>
      <x:c r="C20" s="4"/>
      <x:c r="D20" s="4"/>
      <x:c r="E20" s="4"/>
      <x:c r="F20" s="4"/>
      <x:c r="G20" s="4"/>
      <x:c r="H20" s="4"/>
      <x:c r="I20" s="4"/>
      <x:c r="J20" s="4"/>
      <x:c r="K20" s="4"/>
      <x:c r="L20" s="4"/>
    </x:row>
    <x:row r="21" ht="36" customHeight="1">
      <x:c r="A21" s="14" t="str">
        <x:v>Findings</x:v>
      </x:c>
      <x:c r="B21" s="4"/>
      <x:c r="C21" s="6" t="str">
        <x:v>Three recorded failures: CD2-029, CD4-026 and NS1-027.</x:v>
      </x:c>
      <x:c r="D21" s="6"/>
      <x:c r="E21" s="6"/>
      <x:c r="F21" s="6"/>
      <x:c r="G21" s="6"/>
      <x:c r="H21" s="6"/>
      <x:c r="I21" s="6"/>
      <x:c r="J21" s="6"/>
      <x:c r="K21" s="6"/>
      <x:c r="L21" s="6"/>
    </x:row>
    <x:row r="22">
      <x:c r="A22" s="4"/>
      <x:c r="B22" s="4"/>
      <x:c r="C22" s="4"/>
      <x:c r="D22" s="4"/>
      <x:c r="E22" s="4"/>
      <x:c r="F22" s="4"/>
      <x:c r="G22" s="4"/>
      <x:c r="H22" s="4"/>
      <x:c r="I22" s="4"/>
      <x:c r="J22" s="4"/>
      <x:c r="K22" s="4"/>
      <x:c r="L22" s="4"/>
    </x:row>
    <x:row r="23" ht="36" customHeight="1">
      <x:c r="A23" s="14" t="str">
        <x:v>Pass qualifications</x:v>
      </x:c>
      <x:c r="B23" s="4"/>
      <x:c r="C23" s="6" t="str">
        <x:v>NS1-036 and NS2-044 remain Pass in the source, with important review notes.</x:v>
      </x:c>
      <x:c r="D23" s="6"/>
      <x:c r="E23" s="6"/>
      <x:c r="F23" s="6"/>
      <x:c r="G23" s="6"/>
      <x:c r="H23" s="6"/>
      <x:c r="I23" s="6"/>
      <x:c r="J23" s="6"/>
      <x:c r="K23" s="6"/>
      <x:c r="L23" s="6"/>
    </x:row>
    <x:row r="24">
      <x:c r="A24" s="4"/>
      <x:c r="B24" s="4"/>
      <x:c r="C24" s="4"/>
      <x:c r="D24" s="4"/>
      <x:c r="E24" s="4"/>
      <x:c r="F24" s="4"/>
      <x:c r="G24" s="4"/>
      <x:c r="H24" s="4"/>
      <x:c r="I24" s="4"/>
      <x:c r="J24" s="4"/>
      <x:c r="K24" s="4"/>
      <x:c r="L24" s="4"/>
    </x:row>
    <x:row r="25" ht="36" customHeight="1">
      <x:c r="A25" s="14" t="str">
        <x:v>Scope</x:v>
      </x:c>
      <x:c r="B25" s="4"/>
      <x:c r="C25" s="6" t="str">
        <x:v>39 NS and 31 CD questions. No RB-prefixed questions appear in this new assigned set.</x:v>
      </x:c>
      <x:c r="D25" s="6"/>
      <x:c r="E25" s="6"/>
      <x:c r="F25" s="6"/>
      <x:c r="G25" s="6"/>
      <x:c r="H25" s="6"/>
      <x:c r="I25" s="6"/>
      <x:c r="J25" s="6"/>
      <x:c r="K25" s="6"/>
      <x:c r="L25" s="6"/>
    </x:row>
    <x:row r="26">
      <x:c r="A26" s="4"/>
      <x:c r="B26" s="4"/>
      <x:c r="C26" s="4"/>
      <x:c r="D26" s="4"/>
      <x:c r="E26" s="4"/>
      <x:c r="F26" s="4"/>
      <x:c r="G26" s="4"/>
      <x:c r="H26" s="4"/>
      <x:c r="I26" s="4"/>
      <x:c r="J26" s="4"/>
      <x:c r="K26" s="4"/>
      <x:c r="L26" s="4"/>
    </x:row>
    <x:row r="27" ht="36" customHeight="1">
      <x:c r="A27" s="14" t="str">
        <x:v>Provenance</x:v>
      </x:c>
      <x:c r="B27" s="4"/>
      <x:c r="C27" s="6" t="str">
        <x:v>Source: Dilani_GeoQueryBench_Human_Validation.xlsx, Human Validation sheet, 70 records.</x:v>
      </x:c>
      <x:c r="D27" s="6"/>
      <x:c r="E27" s="6"/>
      <x:c r="F27" s="6"/>
      <x:c r="G27" s="6"/>
      <x:c r="H27" s="6"/>
      <x:c r="I27" s="6"/>
      <x:c r="J27" s="6"/>
      <x:c r="K27" s="6"/>
      <x:c r="L27" s="6"/>
    </x:row>
    <x:row r="28">
      <x:c r="A28" s="4"/>
      <x:c r="B28" s="4"/>
      <x:c r="C28" s="4"/>
      <x:c r="D28" s="4"/>
      <x:c r="E28" s="4"/>
      <x:c r="F28" s="4"/>
      <x:c r="G28" s="4"/>
      <x:c r="H28" s="4"/>
      <x:c r="I28" s="4"/>
      <x:c r="J28" s="4"/>
      <x:c r="K28" s="4"/>
      <x:c r="L28" s="4"/>
    </x:row>
    <x:row r="29" ht="36" customHeight="1">
      <x:c r="A29" s="14" t="str">
        <x:v>Execution boundary</x:v>
      </x:c>
      <x:c r="B29" s="4"/>
      <x:c r="C29" s="6" t="str">
        <x:v>This report consolidates saved findings. No new query execution or defect retest was performed for this report.</x:v>
      </x:c>
      <x:c r="D29" s="6"/>
      <x:c r="E29" s="6"/>
      <x:c r="F29" s="6"/>
      <x:c r="G29" s="6"/>
      <x:c r="H29" s="6"/>
      <x:c r="I29" s="6"/>
      <x:c r="J29" s="6"/>
      <x:c r="K29" s="6"/>
      <x:c r="L29" s="6"/>
    </x:row>
    <x:row r="30">
      <x:c r="A30" s="4"/>
      <x:c r="B30" s="4"/>
      <x:c r="C30" s="4"/>
      <x:c r="D30" s="4"/>
      <x:c r="E30" s="4"/>
      <x:c r="F30" s="4"/>
      <x:c r="G30" s="4"/>
      <x:c r="H30" s="4"/>
      <x:c r="I30" s="4"/>
      <x:c r="J30" s="4"/>
      <x:c r="K30" s="4"/>
      <x:c r="L30" s="4"/>
    </x:row>
    <x:row r="31" ht="36" customHeight="1">
      <x:c r="A31" s="14" t="str">
        <x:v>Comparison limits</x:v>
      </x:c>
      <x:c r="B31" s="4"/>
      <x:c r="C31" s="6" t="str">
        <x:v>The source comparison ignores row order and allows six-decimal representation differences. A match alone does not prove logic or required sorting.</x:v>
      </x:c>
      <x:c r="D31" s="6"/>
      <x:c r="E31" s="6"/>
      <x:c r="F31" s="6"/>
      <x:c r="G31" s="6"/>
      <x:c r="H31" s="6"/>
      <x:c r="I31" s="6"/>
      <x:c r="J31" s="6"/>
      <x:c r="K31" s="6"/>
      <x:c r="L31" s="6"/>
    </x:row>
    <x:row r="32">
      <x:c r="A32" s="4"/>
      <x:c r="B32" s="4"/>
      <x:c r="C32" s="4"/>
      <x:c r="D32" s="4"/>
      <x:c r="E32" s="4"/>
      <x:c r="F32" s="4"/>
      <x:c r="G32" s="4"/>
      <x:c r="H32" s="4"/>
      <x:c r="I32" s="4"/>
      <x:c r="J32" s="4"/>
      <x:c r="K32" s="4"/>
      <x:c r="L32" s="4"/>
    </x:row>
    <x:row r="33" ht="36" customHeight="1">
      <x:c r="A33" s="14" t="str">
        <x:v>Visualisation limit</x:v>
      </x:c>
      <x:c r="B33" s="4"/>
      <x:c r="C33" s="6" t="str">
        <x:v>CD4-026 comparison reflects corrected code. Its original code still has a recorded executability failure. Image similarity is not proof of correctness.</x:v>
      </x:c>
      <x:c r="D33" s="6"/>
      <x:c r="E33" s="6"/>
      <x:c r="F33" s="6"/>
      <x:c r="G33" s="6"/>
      <x:c r="H33" s="6"/>
      <x:c r="I33" s="6"/>
      <x:c r="J33" s="6"/>
      <x:c r="K33" s="6"/>
      <x:c r="L33" s="6"/>
    </x:row>
    <x:row r="34">
      <x:c r="A34" s="4"/>
      <x:c r="B34" s="4"/>
      <x:c r="C34" s="4"/>
      <x:c r="D34" s="4"/>
      <x:c r="E34" s="4"/>
      <x:c r="F34" s="4"/>
      <x:c r="G34" s="4"/>
      <x:c r="H34" s="4"/>
      <x:c r="I34" s="4"/>
      <x:c r="J34" s="4"/>
      <x:c r="K34" s="4"/>
      <x:c r="L34" s="4"/>
    </x:row>
    <x:row r="35" ht="36" customHeight="1">
      <x:c r="A35" s="14" t="str">
        <x:v>Sentinel interpretation</x:v>
      </x:c>
      <x:c r="B35" s="4"/>
      <x:c r="C35" s="6" t="str">
        <x:v>The source records no returned raw sentinels. Negative coordinates and derived statistics are not automatically sentinel errors. NS2-044 intentionally shows a contaminated mean.</x:v>
      </x:c>
      <x:c r="D35" s="6"/>
      <x:c r="E35" s="6"/>
      <x:c r="F35" s="6"/>
      <x:c r="G35" s="6"/>
      <x:c r="H35" s="6"/>
      <x:c r="I35" s="6"/>
      <x:c r="J35" s="6"/>
      <x:c r="K35" s="6"/>
      <x:c r="L35" s="6"/>
    </x:row>
    <x:row r="36">
      <x:c r="A36" s="4"/>
      <x:c r="B36" s="4"/>
      <x:c r="C36" s="4"/>
      <x:c r="D36" s="4"/>
      <x:c r="E36" s="4"/>
      <x:c r="F36" s="4"/>
      <x:c r="G36" s="4"/>
      <x:c r="H36" s="4"/>
      <x:c r="I36" s="4"/>
      <x:c r="J36" s="4"/>
      <x:c r="K36" s="4"/>
      <x:c r="L36" s="4"/>
    </x:row>
    <x:row r="37" ht="36" customHeight="1">
      <x:c r="A37" s="14" t="str">
        <x:v>Evidence availability</x:v>
      </x:c>
      <x:c r="B37" s="4"/>
      <x:c r="C37" s="6" t="str">
        <x:v>Result filenames identify the earlier evidence. Raw result files and independent execution logs are not embedded in this workbook.</x:v>
      </x:c>
      <x:c r="D37" s="6"/>
      <x:c r="E37" s="6"/>
      <x:c r="F37" s="6"/>
      <x:c r="G37" s="6"/>
      <x:c r="H37" s="6"/>
      <x:c r="I37" s="6"/>
      <x:c r="J37" s="6"/>
      <x:c r="K37" s="6"/>
      <x:c r="L37" s="6"/>
    </x:row>
    <x:row r="38">
      <x:c r="A38" s="4"/>
      <x:c r="B38" s="4"/>
      <x:c r="C38" s="4"/>
      <x:c r="D38" s="4"/>
      <x:c r="E38" s="4"/>
      <x:c r="F38" s="4"/>
      <x:c r="G38" s="4"/>
      <x:c r="H38" s="4"/>
      <x:c r="I38" s="4"/>
      <x:c r="J38" s="4"/>
      <x:c r="K38" s="4"/>
      <x:c r="L38" s="4"/>
    </x:row>
    <x:row r="39" ht="36" customHeight="1">
      <x:c r="A39" s="14" t="str">
        <x:v>Resolution</x:v>
      </x:c>
      <x:c r="B39" s="4"/>
      <x:c r="C39" s="6" t="str">
        <x:v>Recommended fixes are proposals. Open issues require implementation and documented retesting before closure.</x:v>
      </x:c>
      <x:c r="D39" s="6"/>
      <x:c r="E39" s="6"/>
      <x:c r="F39" s="6"/>
      <x:c r="G39" s="6"/>
      <x:c r="H39" s="6"/>
      <x:c r="I39" s="6"/>
      <x:c r="J39" s="6"/>
      <x:c r="K39" s="6"/>
      <x:c r="L39" s="6"/>
    </x:row>
    <x:row r="40">
      <x:c r="A40" s="4"/>
      <x:c r="B40" s="4"/>
      <x:c r="C40" s="4"/>
      <x:c r="D40" s="4"/>
      <x:c r="E40" s="4"/>
      <x:c r="F40" s="4"/>
      <x:c r="G40" s="4"/>
      <x:c r="H40" s="4"/>
      <x:c r="I40" s="4"/>
      <x:c r="J40" s="4"/>
      <x:c r="K40" s="4"/>
      <x:c r="L40" s="4"/>
    </x:row>
  </x:sheetData>
  <x:mergeCells>
    <x:mergeCell ref="A21:B21"/>
    <x:mergeCell ref="C21:L21"/>
    <x:mergeCell ref="A23:B23"/>
    <x:mergeCell ref="C23:L23"/>
    <x:mergeCell ref="A25:B25"/>
    <x:mergeCell ref="C25:L25"/>
    <x:mergeCell ref="A27:B27"/>
    <x:mergeCell ref="C27:L27"/>
    <x:mergeCell ref="A29:B29"/>
    <x:mergeCell ref="C29:L29"/>
    <x:mergeCell ref="A31:B31"/>
    <x:mergeCell ref="C31:L31"/>
    <x:mergeCell ref="A33:B33"/>
    <x:mergeCell ref="C33:L33"/>
    <x:mergeCell ref="A35:B35"/>
    <x:mergeCell ref="C35:L35"/>
    <x:mergeCell ref="A37:B37"/>
    <x:mergeCell ref="C37:L37"/>
    <x:mergeCell ref="A39:B39"/>
    <x:mergeCell ref="C39:L39"/>
  </x:mergeCells>
  <x:pageMargins left="0.7" right="0.7" top="0.75" bottom="0.75" header="0.3" footer="0.3"/>
  <x:drawing xmlns:r="http://schemas.openxmlformats.org/officeDocument/2006/relationships" r:id="R6b50d76e6d7649b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15" hidden="0" customWidth="1"/>
    <x:col min="3" max="3" width="27" hidden="0" customWidth="1"/>
    <x:col min="4" max="4" width="55" hidden="0" customWidth="1"/>
    <x:col min="5" max="5" width="72" hidden="0" customWidth="1"/>
    <x:col min="6" max="6" width="60" hidden="0" customWidth="1"/>
    <x:col min="7" max="7" width="60" hidden="0" customWidth="1"/>
    <x:col min="8" max="8" width="27" hidden="0" customWidth="1"/>
  </x:cols>
  <x:sheetData>
    <x:row r="1" ht="62" customHeight="1">
      <x:c r="A1" s="9" t="str">
        <x:v>Query ID</x:v>
      </x:c>
      <x:c r="B1" s="9" t="str">
        <x:v>Method</x:v>
      </x:c>
      <x:c r="C1" s="9" t="str">
        <x:v>Issue</x:v>
      </x:c>
      <x:c r="D1" s="9" t="str">
        <x:v>Question (EN)</x:v>
      </x:c>
      <x:c r="E1" s="9" t="str">
        <x:v>Observed result and evidence</x:v>
      </x:c>
      <x:c r="F1" s="9" t="str">
        <x:v>Recommended correction</x:v>
      </x:c>
      <x:c r="G1" s="9" t="str">
        <x:v>Retest acceptance</x:v>
      </x:c>
      <x:c r="H1" s="9" t="str">
        <x:v>Resolution status</x:v>
      </x:c>
    </x:row>
    <x:row r="2" ht="100" customHeight="1">
      <x:c r="A2" s="6" t="str">
        <x:v>CD2-029</x:v>
      </x:c>
      <x:c r="B2" s="6" t="str">
        <x:v>sql</x:v>
      </x:c>
      <x:c r="C2" s="6" t="str">
        <x:v>Missing bore identifiers</x:v>
      </x:c>
      <x:c r="D2" s="6" t="str">
        <x:v>In SQL, for each groundwater bore with gold above 50 ng/L, find the distance in metres to the nearest gold MINEDEX site.</x:v>
      </x:c>
      <x:c r="E2" s="6" t="str">
        <x:v>Fail: the spatial distance calculation reproduces, but bore_name is null in all 21 rows. The output therefore does not identify each groundwater bore as asked. Use site_code or analysis_id as the bore identifier, optionally retaining bore_name.</x:v>
      </x:c>
      <x:c r="F2" s="6" t="str">
        <x:v>Return a populated site_code or analysis_id, retaining bore_name if useful. Confirm the identifier represents the requested bore.</x:v>
      </x:c>
      <x:c r="G2" s="6" t="str">
        <x:v>Rerun and confirm all 21 records have an appropriate non-null identifier and unchanged validated distances.</x:v>
      </x:c>
      <x:c r="H2" s="10" t="str">
        <x:v>Open — no closure recorded</x:v>
      </x:c>
    </x:row>
    <x:row r="3" ht="100" customHeight="1">
      <x:c r="A3" s="6" t="str">
        <x:v>CD4-026</x:v>
      </x:c>
      <x:c r="B3" s="6" t="str">
        <x:v>viz</x:v>
      </x:c>
      <x:c r="C3" s="6" t="str">
        <x:v>NumPy condition type error</x:v>
      </x:c>
      <x:c r="D3" s="6" t="str">
        <x:v>Map the Kalgoorlie-Kambalda region showing soil gold anomalies coloured by whether the nearest hole within 1 km returned a significant intercept (4 m at 0.5 g/t), no intercept, or has no hole nearby at all, over a grey backdrop of all drilling.</x:v>
      </x:c>
      <x:c r="E3" s="6" t="str">
        <x:v>Fail executability: the supplied code raises a NumPy TypeError because the second np.select condition is not a strict Boolean array. Adding .astype(bool) after fillna(False) makes it run and reproduces the supplied map at 98.6% perceptual-hash similarity; the spatial and classification logic otherwise match.</x:v>
      </x:c>
      <x:c r="F3" s="6" t="str">
        <x:v>Convert the affected condition after fillna(False) to a strict Boolean array using .astype(bool).</x:v>
      </x:c>
      <x:c r="G3" s="6" t="str">
        <x:v>Run the original environment and supported target environment. Confirm execution and inspect map categories, legend and spatial placement.</x:v>
      </x:c>
      <x:c r="H3" s="10" t="str">
        <x:v>Open — no closure recorded</x:v>
      </x:c>
    </x:row>
    <x:row r="4" ht="100" customHeight="1">
      <x:c r="A4" s="6" t="str">
        <x:v>NS1-027</x:v>
      </x:c>
      <x:c r="B4" s="6" t="str">
        <x:v>sql</x:v>
      </x:c>
      <x:c r="C4" s="6" t="str">
        <x:v>Duplicate specimen rows</x:v>
      </x:c>
      <x:c r="D4" s="6" t="str">
        <x:v>Interrogate the WACHEM reference suite for specimens whose silica content exceeds 70 weight percent; return the specimen identifier, lithological designation and the SiO2 figure.</x:v>
      </x:c>
      <x:c r="E4" s="6" t="str">
        <x:v>Fail: the supplied and independently reproduced outputs agree, but the returned specimen list contains 67 exact duplicate rows. Use SELECT DISTINCT (or establish a documented assay-level key) to return each specimen/value combination once.</x:v>
      </x:c>
      <x:c r="F4" s="6" t="str">
        <x:v>Confirm intended output grain. Use SELECT DISTINCT for unique specimen/value combinations, or retain a documented assay-level key for separate records.</x:v>
      </x:c>
      <x:c r="G4" s="6" t="str">
        <x:v>Rerun and verify duplicate count at the agreed output grain. Preserve valid distinct assays.</x:v>
      </x:c>
      <x:c r="H4" s="10" t="str">
        <x:v>Open — no closure recorded</x:v>
      </x:c>
    </x:row>
  </x:sheetData>
  <x:pageMargins left="0.7" right="0.7" top="0.75" bottom="0.75" header="0.3" footer="0.3"/>
  <x:tableParts count="1">
    <x:tablePart xmlns:r="http://schemas.openxmlformats.org/officeDocument/2006/relationships" r:id="R4374cd1b2f904796"/>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20" hidden="0" customWidth="1"/>
    <x:col min="3" max="3" width="100" hidden="0" customWidth="1"/>
    <x:col min="4" max="4" width="75" hidden="0" customWidth="1"/>
    <x:col min="5" max="5" width="26" hidden="0" customWidth="1"/>
  </x:cols>
  <x:sheetData>
    <x:row r="1" ht="62" customHeight="1">
      <x:c r="A1" s="9" t="str">
        <x:v>Query ID</x:v>
      </x:c>
      <x:c r="B1" s="9" t="str">
        <x:v>Recorded verdict</x:v>
      </x:c>
      <x:c r="C1" s="9" t="str">
        <x:v>Qualification</x:v>
      </x:c>
      <x:c r="D1" s="9" t="str">
        <x:v>Recommended follow-up</x:v>
      </x:c>
      <x:c r="E1" s="9" t="str">
        <x:v>Evidence file</x:v>
      </x:c>
    </x:row>
    <x:row r="2" ht="80" customHeight="1">
      <x:c r="A2" s="6" t="str">
        <x:v>NS1-036</x:v>
      </x:c>
      <x:c r="B2" s="6" t="str">
        <x:v>Pass</x:v>
      </x:c>
      <x:c r="C2" s="6" t="str">
        <x:v>Pass with note: all values answering the question match, including the naive maximum (760,000 ppm), 3,431 values at or above 100 ppm, and the plausible maximum (100 ppm). Only worst_report differs because two reports tie at 397 samples with a 2,000 ppm median and the code has no deterministic tie-breaker.</x:v>
      </x:c>
      <x:c r="D2" s="6" t="str">
        <x:v>Agree a deterministic secondary sort or return all tied reports. The report identifier does not match exactly.</x:v>
      </x:c>
      <x:c r="E2" s="6" t="str">
        <x:v>NS1-036.csv</x:v>
      </x:c>
    </x:row>
    <x:row r="3" ht="80" customHeight="1">
      <x:c r="A3" s="6" t="str">
        <x:v>NS2-044</x:v>
      </x:c>
      <x:c r="B3" s="6" t="str">
        <x:v>Pass</x:v>
      </x:c>
      <x:c r="C3" s="6" t="str">
        <x:v>Pass with note: the three-row diagnostic is reproduced. The unfiltered mean (-4,514.0 ppm) is intentionally shown to demonstrate sentinel contamination; the positive-only mean is 95.4 ppm and the additional &lt;100,000 ppm plausibility filter gives 85.0 ppm. No raw sentinel is returned in the result table.</x:v>
      </x:c>
      <x:c r="D3" s="6" t="str">
        <x:v>Label the unfiltered mean as a diagnostic. Agree the cleaning rule before presenting one mean as the scientific result.</x:v>
      </x:c>
      <x:c r="E3" s="6" t="str">
        <x:v>NS2-044.csv</x:v>
      </x:c>
    </x:row>
  </x:sheetData>
  <x:pageMargins left="0.7" right="0.7" top="0.75" bottom="0.75" header="0.3" footer="0.3"/>
  <x:tableParts count="1">
    <x:tablePart xmlns:r="http://schemas.openxmlformats.org/officeDocument/2006/relationships" r:id="Re1ee83057f884594"/>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60" hidden="0" customWidth="1"/>
    <x:col min="6" max="6" width="20" hidden="0" customWidth="1"/>
    <x:col min="7" max="7" width="28" hidden="0" customWidth="1"/>
    <x:col min="8" max="8" width="28"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32"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95" hidden="0" customWidth="1"/>
  </x:cols>
  <x:sheetData>
    <x:row r="1" ht="62" customHeight="1">
      <x:c r="A1" s="9" t="str">
        <x:v>Query ID</x:v>
      </x:c>
      <x:c r="B1" s="9" t="str">
        <x:v>Domain</x:v>
      </x:c>
      <x:c r="C1" s="9" t="str">
        <x:v>Method</x:v>
      </x:c>
      <x:c r="D1" s="9" t="str">
        <x:v>Difficulty</x:v>
      </x:c>
      <x:c r="E1" s="9" t="str">
        <x:v>Question (EN)</x:v>
      </x:c>
      <x:c r="F1" s="9" t="str">
        <x:v>Expected rows</x:v>
      </x:c>
      <x:c r="G1" s="9" t="str">
        <x:v>Supplied result</x:v>
      </x:c>
      <x:c r="H1" s="9" t="str">
        <x:v>Verification result</x:v>
      </x:c>
      <x:c r="I1" s="9" t="str">
        <x:v>Supplied rows</x:v>
      </x:c>
      <x:c r="J1" s="9" t="str">
        <x:v>Verification rows</x:v>
      </x:c>
      <x:c r="K1" s="9" t="str">
        <x:v>Row count match</x:v>
      </x:c>
      <x:c r="L1" s="9" t="str">
        <x:v>Column match</x:v>
      </x:c>
      <x:c r="M1" s="9" t="str">
        <x:v>Value/content match</x:v>
      </x:c>
      <x:c r="N1" s="9" t="str">
        <x:v>Duplicate rows</x:v>
      </x:c>
      <x:c r="O1" s="9" t="str">
        <x:v>Missing cells</x:v>
      </x:c>
      <x:c r="P1" s="9" t="str">
        <x:v>Negative numeric cells</x:v>
      </x:c>
      <x:c r="Q1" s="9" t="str">
        <x:v>Negative values by column</x:v>
      </x:c>
      <x:c r="R1" s="9" t="str">
        <x:v>Sentinel values</x:v>
      </x:c>
      <x:c r="S1" s="9" t="str">
        <x:v>Supplied query runs</x:v>
      </x:c>
      <x:c r="T1" s="9" t="str">
        <x:v>Logic answers the question</x:v>
      </x:c>
      <x:c r="U1" s="9" t="str">
        <x:v>Output / visualisation matches</x:v>
      </x:c>
      <x:c r="V1" s="9" t="str">
        <x:v>Tables, fields and joins</x:v>
      </x:c>
      <x:c r="W1" s="9" t="str">
        <x:v>Spatial/domain correctness</x:v>
      </x:c>
      <x:c r="X1" s="9" t="str">
        <x:v>Overall verdict</x:v>
      </x:c>
      <x:c r="Y1" s="9" t="str">
        <x:v>Requires client clarification or adjudication</x:v>
      </x:c>
      <x:c r="Z1" s="9" t="str">
        <x:v>Decisive evidence / reviewer justification</x:v>
      </x:c>
    </x:row>
    <x:row r="2" ht="90" customHeight="1">
      <x:c r="A2" s="6" t="str">
        <x:v>CD1-019</x:v>
      </x:c>
      <x:c r="B2" s="6" t="str">
        <x:v>CD</x:v>
      </x:c>
      <x:c r="C2" s="6" t="str">
        <x:v>geopandas</x:v>
      </x:c>
      <x:c r="D2" s="6" t="str">
        <x:v>hard</x:v>
      </x:c>
      <x:c r="E2" s="6" t="str">
        <x:v>For each groundwater bore, how far is the nearest drill hole? Report the quartiles of that distance.</x:v>
      </x:c>
      <x:c r="F2" s="6" t="n">
        <x:v>1</x:v>
      </x:c>
      <x:c r="G2" s="6" t="str">
        <x:v>CD1-019.csv</x:v>
      </x:c>
      <x:c r="H2" s="6" t="str">
        <x:v>CD1-019.csv</x:v>
      </x:c>
      <x:c r="I2" s="6" t="n">
        <x:v>1</x:v>
      </x:c>
      <x:c r="J2" s="6" t="n">
        <x:v>1</x:v>
      </x:c>
      <x:c r="K2" s="7" t="b">
        <x:v>1</x:v>
      </x:c>
      <x:c r="L2" s="7" t="b">
        <x:v>1</x:v>
      </x:c>
      <x:c r="M2" s="7" t="b">
        <x:v>1</x:v>
      </x:c>
      <x:c r="N2" s="6" t="n">
        <x:v>0</x:v>
      </x:c>
      <x:c r="O2" s="6" t="n">
        <x:v>0</x:v>
      </x:c>
      <x:c r="P2" s="6" t="n">
        <x:v>0</x:v>
      </x:c>
      <x:c r="Q2" s="6" t="str">
        <x:v>{}</x:v>
      </x:c>
      <x:c r="R2" s="6" t="n">
        <x:v>0</x:v>
      </x:c>
      <x:c r="S2" s="6" t="str">
        <x:v>Pass</x:v>
      </x:c>
      <x:c r="T2" s="6" t="str">
        <x:v>Pass</x:v>
      </x:c>
      <x:c r="U2" s="6" t="str">
        <x:v>Pass</x:v>
      </x:c>
      <x:c r="V2" s="6" t="str">
        <x:v>Pass</x:v>
      </x:c>
      <x:c r="W2" s="6" t="str">
        <x:v>Pass</x:v>
      </x:c>
      <x:c r="X2" s="6" t="str">
        <x:v>Pass</x:v>
      </x:c>
      <x:c r="Y2" s="7" t="b">
        <x:v>0</x:v>
      </x:c>
      <x:c r="Z2" s="6" t="str">
        <x:v>Independent execution reproduced all 1 supplied rows, columns and values (comparison ignores row order and tolerates six-decimal floating-point representation differences). No returned sentinel values were found.</x:v>
      </x:c>
    </x:row>
    <x:row r="3" ht="90" customHeight="1">
      <x:c r="A3" s="6" t="str">
        <x:v>CD1-035</x:v>
      </x:c>
      <x:c r="B3" s="6" t="str">
        <x:v>CD</x:v>
      </x:c>
      <x:c r="C3" s="6" t="str">
        <x:v>sql</x:v>
      </x:c>
      <x:c r="D3" s="6" t="str">
        <x:v>easy</x:v>
      </x:c>
      <x:c r="E3" s="6" t="str">
        <x:v>How many mineral occurrences fall inside the Kalgoorlie-Kambalda box (longitude 121.0 to 122.0, latitude -32.0 to -30.5), and how many drill holes are in that region?</x:v>
      </x:c>
      <x:c r="F3" s="6" t="n">
        <x:v>2</x:v>
      </x:c>
      <x:c r="G3" s="6" t="str">
        <x:v>CD1-035.csv</x:v>
      </x:c>
      <x:c r="H3" s="6" t="str">
        <x:v>CD1-035.csv</x:v>
      </x:c>
      <x:c r="I3" s="6" t="n">
        <x:v>2</x:v>
      </x:c>
      <x:c r="J3" s="6" t="n">
        <x:v>2</x:v>
      </x:c>
      <x:c r="K3" s="7" t="b">
        <x:v>1</x:v>
      </x:c>
      <x:c r="L3" s="7" t="b">
        <x:v>1</x:v>
      </x:c>
      <x:c r="M3" s="7" t="b">
        <x:v>1</x:v>
      </x:c>
      <x:c r="N3" s="6" t="n">
        <x:v>0</x:v>
      </x:c>
      <x:c r="O3" s="6" t="n">
        <x:v>0</x:v>
      </x:c>
      <x:c r="P3" s="6" t="n">
        <x:v>0</x:v>
      </x:c>
      <x:c r="Q3" s="6" t="str">
        <x:v>{}</x:v>
      </x:c>
      <x:c r="R3" s="6" t="n">
        <x:v>0</x:v>
      </x:c>
      <x:c r="S3" s="6" t="str">
        <x:v>Pass</x:v>
      </x:c>
      <x:c r="T3" s="6" t="str">
        <x:v>Pass</x:v>
      </x:c>
      <x:c r="U3" s="6" t="str">
        <x:v>Pass</x:v>
      </x:c>
      <x:c r="V3" s="6" t="str">
        <x:v>Pass</x:v>
      </x:c>
      <x:c r="W3" s="6" t="str">
        <x:v>Pass</x:v>
      </x:c>
      <x:c r="X3" s="6" t="str">
        <x:v>Pass</x:v>
      </x:c>
      <x:c r="Y3" s="7" t="b">
        <x:v>0</x:v>
      </x:c>
      <x:c r="Z3" s="6" t="str">
        <x:v>Independent execution reproduced all 2 supplied rows, columns and values (comparison ignores row order and tolerates six-decimal floating-point representation differences). No returned sentinel values were found.</x:v>
      </x:c>
    </x:row>
    <x:row r="4" ht="90" customHeight="1">
      <x:c r="A4" s="6" t="str">
        <x:v>CD1-037</x:v>
      </x:c>
      <x:c r="B4" s="6" t="str">
        <x:v>CD</x:v>
      </x:c>
      <x:c r="C4" s="6" t="str">
        <x:v>sql</x:v>
      </x:c>
      <x:c r="D4" s="6" t="str">
        <x:v>medium</x:v>
      </x:c>
      <x:c r="E4" s="6" t="str">
        <x:v>Which townsite is closest to the Kambalda drilling centre at longitude 121.65, latitude -31.2, and how far is it in kilometres?</x:v>
      </x:c>
      <x:c r="F4" s="6" t="n">
        <x:v>5</x:v>
      </x:c>
      <x:c r="G4" s="6" t="str">
        <x:v>CD1-037.csv</x:v>
      </x:c>
      <x:c r="H4" s="6" t="str">
        <x:v>CD1-037.csv</x:v>
      </x:c>
      <x:c r="I4" s="6" t="n">
        <x:v>5</x:v>
      </x:c>
      <x:c r="J4" s="6" t="n">
        <x:v>5</x:v>
      </x:c>
      <x:c r="K4" s="7" t="b">
        <x:v>1</x:v>
      </x:c>
      <x:c r="L4" s="7" t="b">
        <x:v>1</x:v>
      </x:c>
      <x:c r="M4" s="7" t="b">
        <x:v>1</x:v>
      </x:c>
      <x:c r="N4" s="6" t="n">
        <x:v>0</x:v>
      </x:c>
      <x:c r="O4" s="6" t="n">
        <x:v>0</x:v>
      </x:c>
      <x:c r="P4" s="6" t="n">
        <x:v>0</x:v>
      </x:c>
      <x:c r="Q4" s="6" t="str">
        <x:v>{}</x:v>
      </x:c>
      <x:c r="R4" s="6" t="n">
        <x:v>0</x:v>
      </x:c>
      <x:c r="S4" s="6" t="str">
        <x:v>Pass</x:v>
      </x:c>
      <x:c r="T4" s="6" t="str">
        <x:v>Pass</x:v>
      </x:c>
      <x:c r="U4" s="6" t="str">
        <x:v>Pass</x:v>
      </x:c>
      <x:c r="V4" s="6" t="str">
        <x:v>Pass</x:v>
      </x:c>
      <x:c r="W4" s="6" t="str">
        <x:v>Pass</x:v>
      </x:c>
      <x:c r="X4" s="6" t="str">
        <x:v>Pass</x:v>
      </x:c>
      <x:c r="Y4" s="7" t="b">
        <x:v>0</x:v>
      </x:c>
      <x:c r="Z4" s="6" t="str">
        <x:v>Independent execution reproduced all 5 supplied rows, columns and values (comparison ignores row order and tolerates six-decimal floating-point representation differences). No returned sentinel values were found.</x:v>
      </x:c>
    </x:row>
    <x:row r="5" ht="90" customHeight="1">
      <x:c r="A5" s="6" t="str">
        <x:v>CD1-047</x:v>
      </x:c>
      <x:c r="B5" s="6" t="str">
        <x:v>CD</x:v>
      </x:c>
      <x:c r="C5" s="6" t="str">
        <x:v>sql</x:v>
      </x:c>
      <x:c r="D5" s="6" t="str">
        <x:v>medium</x:v>
      </x:c>
      <x:c r="E5" s="6" t="str">
        <x:v>Which geological formations host the most drilling? Join collars to the mapped geology and rank by hole count.</x:v>
      </x:c>
      <x:c r="F5" s="6" t="n">
        <x:v>15</x:v>
      </x:c>
      <x:c r="G5" s="6" t="str">
        <x:v>CD1-047.csv</x:v>
      </x:c>
      <x:c r="H5" s="6" t="str">
        <x:v>CD1-047.csv</x:v>
      </x:c>
      <x:c r="I5" s="6" t="n">
        <x:v>15</x:v>
      </x:c>
      <x:c r="J5" s="6" t="n">
        <x:v>15</x:v>
      </x:c>
      <x:c r="K5" s="7" t="b">
        <x:v>1</x:v>
      </x:c>
      <x:c r="L5" s="7" t="b">
        <x:v>1</x:v>
      </x:c>
      <x:c r="M5" s="7" t="b">
        <x:v>1</x:v>
      </x:c>
      <x:c r="N5" s="6" t="n">
        <x:v>0</x:v>
      </x:c>
      <x:c r="O5" s="6" t="n">
        <x:v>0</x:v>
      </x:c>
      <x:c r="P5" s="6" t="n">
        <x:v>0</x:v>
      </x:c>
      <x:c r="Q5" s="6" t="str">
        <x:v>{}</x:v>
      </x:c>
      <x:c r="R5" s="6" t="n">
        <x:v>0</x:v>
      </x:c>
      <x:c r="S5" s="6" t="str">
        <x:v>Pass</x:v>
      </x:c>
      <x:c r="T5" s="6" t="str">
        <x:v>Pass</x:v>
      </x:c>
      <x:c r="U5" s="6" t="str">
        <x:v>Pass</x:v>
      </x:c>
      <x:c r="V5" s="6" t="str">
        <x:v>Pass</x:v>
      </x:c>
      <x:c r="W5" s="6" t="str">
        <x:v>Pass</x:v>
      </x:c>
      <x:c r="X5" s="6" t="str">
        <x:v>Pass</x:v>
      </x:c>
      <x:c r="Y5" s="7" t="b">
        <x:v>0</x:v>
      </x:c>
      <x:c r="Z5" s="6" t="str">
        <x:v>Independent execution reproduced all 15 supplied rows, columns and values (comparison ignores row order and tolerates six-decimal floating-point representation differences). No returned sentinel values were found.</x:v>
      </x:c>
    </x:row>
    <x:row r="6" ht="90" customHeight="1">
      <x:c r="A6" s="6" t="str">
        <x:v>CD1-050</x:v>
      </x:c>
      <x:c r="B6" s="6" t="str">
        <x:v>CD</x:v>
      </x:c>
      <x:c r="C6" s="6" t="str">
        <x:v>sql</x:v>
      </x:c>
      <x:c r="D6" s="6" t="str">
        <x:v>easy</x:v>
      </x:c>
      <x:c r="E6" s="6" t="str">
        <x:v>How many greenstone belts are there in total, and how many contain at least one drill hole?</x:v>
      </x:c>
      <x:c r="F6" s="6" t="n">
        <x:v>1</x:v>
      </x:c>
      <x:c r="G6" s="6" t="str">
        <x:v>CD1-050.csv</x:v>
      </x:c>
      <x:c r="H6" s="6" t="str">
        <x:v>CD1-050.csv</x:v>
      </x:c>
      <x:c r="I6" s="6" t="n">
        <x:v>1</x:v>
      </x:c>
      <x:c r="J6" s="6" t="n">
        <x:v>1</x:v>
      </x:c>
      <x:c r="K6" s="7" t="b">
        <x:v>1</x:v>
      </x:c>
      <x:c r="L6" s="7" t="b">
        <x:v>1</x:v>
      </x:c>
      <x:c r="M6" s="7" t="b">
        <x:v>1</x:v>
      </x:c>
      <x:c r="N6" s="6" t="n">
        <x:v>0</x:v>
      </x:c>
      <x:c r="O6" s="6" t="n">
        <x:v>0</x:v>
      </x:c>
      <x:c r="P6" s="6" t="n">
        <x:v>0</x:v>
      </x:c>
      <x:c r="Q6" s="6" t="str">
        <x:v>{}</x:v>
      </x:c>
      <x:c r="R6" s="6" t="n">
        <x:v>0</x:v>
      </x:c>
      <x:c r="S6" s="6" t="str">
        <x:v>Pass</x:v>
      </x:c>
      <x:c r="T6" s="6" t="str">
        <x:v>Pass</x:v>
      </x:c>
      <x:c r="U6" s="6" t="str">
        <x:v>Pass</x:v>
      </x:c>
      <x:c r="V6" s="6" t="str">
        <x:v>Pass</x:v>
      </x:c>
      <x:c r="W6" s="6" t="str">
        <x:v>Pass</x:v>
      </x:c>
      <x:c r="X6" s="6" t="str">
        <x:v>Pass</x:v>
      </x:c>
      <x:c r="Y6" s="7" t="b">
        <x:v>0</x:v>
      </x:c>
      <x:c r="Z6" s="6" t="str">
        <x:v>Independent execution reproduced all 1 supplied rows, columns and values (comparison ignores row order and tolerates six-decimal floating-point representation differences). No returned sentinel values were found.</x:v>
      </x:c>
    </x:row>
    <x:row r="7" ht="90" customHeight="1">
      <x:c r="A7" s="6" t="str">
        <x:v>CD1-051</x:v>
      </x:c>
      <x:c r="B7" s="6" t="str">
        <x:v>CD</x:v>
      </x:c>
      <x:c r="C7" s="6" t="str">
        <x:v>python</x:v>
      </x:c>
      <x:c r="D7" s="6" t="str">
        <x:v>medium</x:v>
      </x:c>
      <x:c r="E7" s="6" t="str">
        <x:v>For each region, what is the median distance from a drill hole to the nearest surface sample?</x:v>
      </x:c>
      <x:c r="F7" s="6" t="n">
        <x:v>4</x:v>
      </x:c>
      <x:c r="G7" s="6" t="str">
        <x:v>CD1-051.csv</x:v>
      </x:c>
      <x:c r="H7" s="6" t="str">
        <x:v>CD1-051.csv</x:v>
      </x:c>
      <x:c r="I7" s="6" t="n">
        <x:v>4</x:v>
      </x:c>
      <x:c r="J7" s="6" t="n">
        <x:v>4</x:v>
      </x:c>
      <x:c r="K7" s="7" t="b">
        <x:v>1</x:v>
      </x:c>
      <x:c r="L7" s="7" t="b">
        <x:v>1</x:v>
      </x:c>
      <x:c r="M7" s="7" t="b">
        <x:v>1</x:v>
      </x:c>
      <x:c r="N7" s="6" t="n">
        <x:v>0</x:v>
      </x:c>
      <x:c r="O7" s="6" t="n">
        <x:v>0</x:v>
      </x:c>
      <x:c r="P7" s="6" t="n">
        <x:v>0</x:v>
      </x:c>
      <x:c r="Q7" s="6" t="str">
        <x:v>{}</x:v>
      </x:c>
      <x:c r="R7" s="6" t="n">
        <x:v>0</x:v>
      </x:c>
      <x:c r="S7" s="6" t="str">
        <x:v>Pass</x:v>
      </x:c>
      <x:c r="T7" s="6" t="str">
        <x:v>Pass</x:v>
      </x:c>
      <x:c r="U7" s="6" t="str">
        <x:v>Pass</x:v>
      </x:c>
      <x:c r="V7" s="6" t="str">
        <x:v>Pass</x:v>
      </x:c>
      <x:c r="W7" s="6" t="str">
        <x:v>Pass</x:v>
      </x:c>
      <x:c r="X7" s="6" t="str">
        <x:v>Pass</x:v>
      </x:c>
      <x:c r="Y7" s="7" t="b">
        <x:v>0</x:v>
      </x:c>
      <x:c r="Z7" s="6" t="str">
        <x:v>Independent execution reproduced all 4 supplied rows, columns and values (comparison ignores row order and tolerates six-decimal floating-point representation differences). No returned sentinel values were found.</x:v>
      </x:c>
    </x:row>
    <x:row r="8" ht="90" customHeight="1">
      <x:c r="A8" s="6" t="str">
        <x:v>CD1-053</x:v>
      </x:c>
      <x:c r="B8" s="6" t="str">
        <x:v>CD</x:v>
      </x:c>
      <x:c r="C8" s="6" t="str">
        <x:v>viz</x:v>
      </x:c>
      <x:c r="D8" s="6" t="str">
        <x:v>easy</x:v>
      </x:c>
      <x:c r="E8" s="6" t="str">
        <x:v>Draw a bar chart comparing, per region, the number of drill holes against the number of surface samples.</x:v>
      </x:c>
      <x:c r="F8" s="6" t="n">
        <x:v>1</x:v>
      </x:c>
      <x:c r="G8" s="6" t="str">
        <x:v>CD1-053.png</x:v>
      </x:c>
      <x:c r="H8" s="6" t="str">
        <x:v>CD1-053.png</x:v>
      </x:c>
      <x:c r="I8" s="6" t="str"/>
      <x:c r="J8" s="6" t="str"/>
      <x:c r="K8" s="6" t="str"/>
      <x:c r="L8" s="6" t="str"/>
      <x:c r="M8" s="7" t="b">
        <x:v>1</x:v>
      </x:c>
      <x:c r="N8" s="6" t="str"/>
      <x:c r="O8" s="6" t="str"/>
      <x:c r="P8" s="6" t="str"/>
      <x:c r="Q8" s="6" t="str">
        <x:v>{}</x:v>
      </x:c>
      <x:c r="R8" s="6" t="n">
        <x:v>0</x:v>
      </x:c>
      <x:c r="S8" s="6" t="str">
        <x:v>Pass</x:v>
      </x:c>
      <x:c r="T8" s="6" t="str">
        <x:v>Pass</x:v>
      </x:c>
      <x:c r="U8" s="6" t="str">
        <x:v>Pass</x:v>
      </x:c>
      <x:c r="V8" s="6" t="str">
        <x:v>Pass</x:v>
      </x:c>
      <x:c r="W8" s="6" t="str">
        <x:v>Pass</x:v>
      </x:c>
      <x:c r="X8" s="6" t="str">
        <x:v>Pass</x:v>
      </x:c>
      <x:c r="Y8" s="7" t="b">
        <x:v>0</x:v>
      </x:c>
      <x:c r="Z8" s="6" t="str">
        <x:v>Independent execution reproduced the visual. Perceptual hash similarity is 100.0%; the different pixel dimensions are caused by the verification export DPI. No sentinel values are displayed in the plotted data.</x:v>
      </x:c>
    </x:row>
    <x:row r="9" ht="90" customHeight="1">
      <x:c r="A9" s="6" t="str">
        <x:v>CD2-017</x:v>
      </x:c>
      <x:c r="B9" s="6" t="str">
        <x:v>CD</x:v>
      </x:c>
      <x:c r="C9" s="6" t="str">
        <x:v>geopandas</x:v>
      </x:c>
      <x:c r="D9" s="6" t="str">
        <x:v>hard</x:v>
      </x:c>
      <x:c r="E9" s="6" t="str">
        <x:v>Do groundwater gold anomalies sit near high-grade drilling? Compare the median maximum downhole gold of holes within 2 km of bores with Au above 50 ng/L against holes near bores below that level.</x:v>
      </x:c>
      <x:c r="F9" s="6" t="n">
        <x:v>2</x:v>
      </x:c>
      <x:c r="G9" s="6" t="str">
        <x:v>CD2-017.csv</x:v>
      </x:c>
      <x:c r="H9" s="6" t="str">
        <x:v>CD2-017.csv</x:v>
      </x:c>
      <x:c r="I9" s="6" t="n">
        <x:v>2</x:v>
      </x:c>
      <x:c r="J9" s="6" t="n">
        <x:v>2</x:v>
      </x:c>
      <x:c r="K9" s="7" t="b">
        <x:v>1</x:v>
      </x:c>
      <x:c r="L9" s="7" t="b">
        <x:v>1</x:v>
      </x:c>
      <x:c r="M9" s="7" t="b">
        <x:v>1</x:v>
      </x:c>
      <x:c r="N9" s="6" t="n">
        <x:v>0</x:v>
      </x:c>
      <x:c r="O9" s="6" t="n">
        <x:v>0</x:v>
      </x:c>
      <x:c r="P9" s="6" t="n">
        <x:v>0</x:v>
      </x:c>
      <x:c r="Q9" s="6" t="str">
        <x:v>{}</x:v>
      </x:c>
      <x:c r="R9" s="6" t="n">
        <x:v>0</x:v>
      </x:c>
      <x:c r="S9" s="6" t="str">
        <x:v>Pass</x:v>
      </x:c>
      <x:c r="T9" s="6" t="str">
        <x:v>Pass</x:v>
      </x:c>
      <x:c r="U9" s="6" t="str">
        <x:v>Pass</x:v>
      </x:c>
      <x:c r="V9" s="6" t="str">
        <x:v>Pass</x:v>
      </x:c>
      <x:c r="W9" s="6" t="str">
        <x:v>Pass</x:v>
      </x:c>
      <x:c r="X9" s="6" t="str">
        <x:v>Pass</x:v>
      </x:c>
      <x:c r="Y9" s="7" t="b">
        <x:v>0</x:v>
      </x:c>
      <x:c r="Z9" s="6" t="str">
        <x:v>Independent execution reproduced all 2 supplied rows, columns and values (comparison ignores row order and tolerates six-decimal floating-point representation differences). No returned sentinel values were found.</x:v>
      </x:c>
    </x:row>
    <x:row r="10" ht="90" customHeight="1">
      <x:c r="A10" s="6" t="str">
        <x:v>CD2-027</x:v>
      </x:c>
      <x:c r="B10" s="6" t="str">
        <x:v>CD</x:v>
      </x:c>
      <x:c r="C10" s="6" t="str">
        <x:v>geopandas</x:v>
      </x:c>
      <x:c r="D10" s="6" t="str">
        <x:v>hard</x:v>
      </x:c>
      <x:c r="E10" s="6" t="str">
        <x:v>For the strongest plausible soil gold anomaly in the Kambalda box (lon 121.5-121.8, lat -31.3 to -31.1), what did the nearest drill hole actually return? Give the hole's single best assay, its length-weighted average over all assayed metres, and its best 4 m composite, and say which of the three best answers the question.</x:v>
      </x:c>
      <x:c r="F10" s="6" t="n">
        <x:v>1</x:v>
      </x:c>
      <x:c r="G10" s="6" t="str">
        <x:v>CD2-027.csv</x:v>
      </x:c>
      <x:c r="H10" s="6" t="str">
        <x:v>CD2-027.csv</x:v>
      </x:c>
      <x:c r="I10" s="6" t="n">
        <x:v>1</x:v>
      </x:c>
      <x:c r="J10" s="6" t="n">
        <x:v>1</x:v>
      </x:c>
      <x:c r="K10" s="7" t="b">
        <x:v>1</x:v>
      </x:c>
      <x:c r="L10" s="7" t="b">
        <x:v>1</x:v>
      </x:c>
      <x:c r="M10" s="7" t="b">
        <x:v>1</x:v>
      </x:c>
      <x:c r="N10" s="6" t="n">
        <x:v>0</x:v>
      </x:c>
      <x:c r="O10" s="6" t="n">
        <x:v>0</x:v>
      </x:c>
      <x:c r="P10" s="6" t="n">
        <x:v>0</x:v>
      </x:c>
      <x:c r="Q10" s="6" t="str">
        <x:v>{}</x:v>
      </x:c>
      <x:c r="R10" s="6" t="n">
        <x:v>0</x:v>
      </x:c>
      <x:c r="S10" s="6" t="str">
        <x:v>Pass</x:v>
      </x:c>
      <x:c r="T10" s="6" t="str">
        <x:v>Pass</x:v>
      </x:c>
      <x:c r="U10" s="6" t="str">
        <x:v>Pass</x:v>
      </x:c>
      <x:c r="V10" s="6" t="str">
        <x:v>Pass</x:v>
      </x:c>
      <x:c r="W10" s="6" t="str">
        <x:v>Pass</x:v>
      </x:c>
      <x:c r="X10" s="6" t="str">
        <x:v>Pass</x:v>
      </x:c>
      <x:c r="Y10" s="7" t="b">
        <x:v>0</x:v>
      </x:c>
      <x:c r="Z10" s="6" t="str">
        <x:v>Independent execution reproduced all 1 supplied rows, columns and values (comparison ignores row order and tolerates six-decimal floating-point representation differences). No returned sentinel values were found.</x:v>
      </x:c>
    </x:row>
    <x:row r="11" ht="90" customHeight="1">
      <x:c r="A11" s="6" t="str">
        <x:v>CD2-029</x:v>
      </x:c>
      <x:c r="B11" s="6" t="str">
        <x:v>CD</x:v>
      </x:c>
      <x:c r="C11" s="6" t="str">
        <x:v>sql</x:v>
      </x:c>
      <x:c r="D11" s="6" t="str">
        <x:v>hard</x:v>
      </x:c>
      <x:c r="E11" s="6" t="str">
        <x:v>In SQL, for each groundwater bore with gold above 50 ng/L, find the distance in metres to the nearest gold MINEDEX site.</x:v>
      </x:c>
      <x:c r="F11" s="6" t="n">
        <x:v>21</x:v>
      </x:c>
      <x:c r="G11" s="6" t="str">
        <x:v>CD2-029.csv</x:v>
      </x:c>
      <x:c r="H11" s="6" t="str">
        <x:v>CD2-029.csv</x:v>
      </x:c>
      <x:c r="I11" s="6" t="n">
        <x:v>21</x:v>
      </x:c>
      <x:c r="J11" s="6" t="n">
        <x:v>21</x:v>
      </x:c>
      <x:c r="K11" s="7" t="b">
        <x:v>1</x:v>
      </x:c>
      <x:c r="L11" s="7" t="b">
        <x:v>1</x:v>
      </x:c>
      <x:c r="M11" s="7" t="b">
        <x:v>1</x:v>
      </x:c>
      <x:c r="N11" s="6" t="n">
        <x:v>0</x:v>
      </x:c>
      <x:c r="O11" s="6" t="n">
        <x:v>21</x:v>
      </x:c>
      <x:c r="P11" s="6" t="n">
        <x:v>0</x:v>
      </x:c>
      <x:c r="Q11" s="6" t="str">
        <x:v>{}</x:v>
      </x:c>
      <x:c r="R11" s="6" t="n">
        <x:v>0</x:v>
      </x:c>
      <x:c r="S11" s="6" t="str">
        <x:v>Pass</x:v>
      </x:c>
      <x:c r="T11" s="6" t="str">
        <x:v>Fail</x:v>
      </x:c>
      <x:c r="U11" s="6" t="str">
        <x:v>Fail</x:v>
      </x:c>
      <x:c r="V11" s="6" t="str">
        <x:v>Pass</x:v>
      </x:c>
      <x:c r="W11" s="6" t="str">
        <x:v>Pass</x:v>
      </x:c>
      <x:c r="X11" s="6" t="str">
        <x:v>Fail</x:v>
      </x:c>
      <x:c r="Y11" s="7" t="b">
        <x:v>0</x:v>
      </x:c>
      <x:c r="Z11" s="6" t="str">
        <x:v>Fail: the spatial distance calculation reproduces, but bore_name is null in all 21 rows. The output therefore does not identify each groundwater bore as asked. Use site_code or analysis_id as the bore identifier, optionally retaining bore_name.</x:v>
      </x:c>
    </x:row>
    <x:row r="12" ht="90" customHeight="1">
      <x:c r="A12" s="6" t="str">
        <x:v>CD2-032</x:v>
      </x:c>
      <x:c r="B12" s="6" t="str">
        <x:v>CD</x:v>
      </x:c>
      <x:c r="C12" s="6" t="str">
        <x:v>sql</x:v>
      </x:c>
      <x:c r="D12" s="6" t="str">
        <x:v>hard</x:v>
      </x:c>
      <x:c r="E12" s="6" t="str">
        <x:v>Compare gold endowment between the Pilbara-Newman and Kalgoorlie-Kambalda regions using the drillhole assays.</x:v>
      </x:c>
      <x:c r="F12" s="6" t="n">
        <x:v>2</x:v>
      </x:c>
      <x:c r="G12" s="6" t="str">
        <x:v>CD2-032.csv</x:v>
      </x:c>
      <x:c r="H12" s="6" t="str">
        <x:v>CD2-032.csv</x:v>
      </x:c>
      <x:c r="I12" s="6" t="n">
        <x:v>2</x:v>
      </x:c>
      <x:c r="J12" s="6" t="n">
        <x:v>2</x:v>
      </x:c>
      <x:c r="K12" s="7" t="b">
        <x:v>1</x:v>
      </x:c>
      <x:c r="L12" s="7" t="b">
        <x:v>1</x:v>
      </x:c>
      <x:c r="M12" s="7" t="b">
        <x:v>1</x:v>
      </x:c>
      <x:c r="N12" s="6" t="n">
        <x:v>0</x:v>
      </x:c>
      <x:c r="O12" s="6" t="n">
        <x:v>1</x:v>
      </x:c>
      <x:c r="P12" s="6" t="n">
        <x:v>0</x:v>
      </x:c>
      <x:c r="Q12" s="6" t="str">
        <x:v>{}</x:v>
      </x:c>
      <x:c r="R12" s="6" t="n">
        <x:v>0</x:v>
      </x:c>
      <x:c r="S12" s="6" t="str">
        <x:v>Pass</x:v>
      </x:c>
      <x:c r="T12" s="6" t="str">
        <x:v>Pass</x:v>
      </x:c>
      <x:c r="U12" s="6" t="str">
        <x:v>Pass</x:v>
      </x:c>
      <x:c r="V12" s="6" t="str">
        <x:v>Pass</x:v>
      </x:c>
      <x:c r="W12" s="6" t="str">
        <x:v>Pass</x:v>
      </x:c>
      <x:c r="X12" s="6" t="str">
        <x:v>Pass</x:v>
      </x:c>
      <x:c r="Y12" s="7" t="b">
        <x:v>0</x:v>
      </x:c>
      <x:c r="Z12" s="6" t="str">
        <x:v>Independent execution reproduced all 2 supplied rows, columns and values (comparison ignores row order and tolerates six-decimal floating-point representation differences). No returned sentinel values were found.</x:v>
      </x:c>
    </x:row>
    <x:row r="13" ht="90" customHeight="1">
      <x:c r="A13" s="6" t="str">
        <x:v>CD2-038</x:v>
      </x:c>
      <x:c r="B13" s="6" t="str">
        <x:v>CD</x:v>
      </x:c>
      <x:c r="C13" s="6" t="str">
        <x:v>sql</x:v>
      </x:c>
      <x:c r="D13" s="6" t="str">
        <x:v>medium</x:v>
      </x:c>
      <x:c r="E13" s="6" t="str">
        <x:v>Tin is mostly a Pilbara story underground. Does the surface data agree? Compare tin by sample medium against tin by drilling region.</x:v>
      </x:c>
      <x:c r="F13" s="6" t="n">
        <x:v>8</x:v>
      </x:c>
      <x:c r="G13" s="6" t="str">
        <x:v>CD2-038.csv</x:v>
      </x:c>
      <x:c r="H13" s="6" t="str">
        <x:v>CD2-038.csv</x:v>
      </x:c>
      <x:c r="I13" s="6" t="n">
        <x:v>8</x:v>
      </x:c>
      <x:c r="J13" s="6" t="n">
        <x:v>8</x:v>
      </x:c>
      <x:c r="K13" s="7" t="b">
        <x:v>1</x:v>
      </x:c>
      <x:c r="L13" s="7" t="b">
        <x:v>1</x:v>
      </x:c>
      <x:c r="M13" s="7" t="b">
        <x:v>1</x:v>
      </x:c>
      <x:c r="N13" s="6" t="n">
        <x:v>0</x:v>
      </x:c>
      <x:c r="O13" s="6" t="n">
        <x:v>0</x:v>
      </x:c>
      <x:c r="P13" s="6" t="n">
        <x:v>0</x:v>
      </x:c>
      <x:c r="Q13" s="6" t="str">
        <x:v>{}</x:v>
      </x:c>
      <x:c r="R13" s="6" t="n">
        <x:v>0</x:v>
      </x:c>
      <x:c r="S13" s="6" t="str">
        <x:v>Pass</x:v>
      </x:c>
      <x:c r="T13" s="6" t="str">
        <x:v>Pass</x:v>
      </x:c>
      <x:c r="U13" s="6" t="str">
        <x:v>Pass</x:v>
      </x:c>
      <x:c r="V13" s="6" t="str">
        <x:v>Pass</x:v>
      </x:c>
      <x:c r="W13" s="6" t="str">
        <x:v>Pass</x:v>
      </x:c>
      <x:c r="X13" s="6" t="str">
        <x:v>Pass</x:v>
      </x:c>
      <x:c r="Y13" s="7" t="b">
        <x:v>0</x:v>
      </x:c>
      <x:c r="Z13" s="6" t="str">
        <x:v>Independent execution reproduced all 8 supplied rows, columns and values (comparison ignores row order and tolerates six-decimal floating-point representation differences). No returned sentinel values were found.</x:v>
      </x:c>
    </x:row>
    <x:row r="14" ht="90" customHeight="1">
      <x:c r="A14" s="6" t="str">
        <x:v>CD2-044</x:v>
      </x:c>
      <x:c r="B14" s="6" t="str">
        <x:v>CD</x:v>
      </x:c>
      <x:c r="C14" s="6" t="str">
        <x:v>sql</x:v>
      </x:c>
      <x:c r="D14" s="6" t="str">
        <x:v>easy</x:v>
      </x:c>
      <x:c r="E14" s="6" t="str">
        <x:v>How many holes have a pre-summarised peak-grade record, and how does that compare with the number of holes that have raw assay intervals?</x:v>
      </x:c>
      <x:c r="F14" s="6" t="n">
        <x:v>3</x:v>
      </x:c>
      <x:c r="G14" s="6" t="str">
        <x:v>CD2-044.csv</x:v>
      </x:c>
      <x:c r="H14" s="6" t="str">
        <x:v>CD2-044.csv</x:v>
      </x:c>
      <x:c r="I14" s="6" t="n">
        <x:v>3</x:v>
      </x:c>
      <x:c r="J14" s="6" t="n">
        <x:v>3</x:v>
      </x:c>
      <x:c r="K14" s="7" t="b">
        <x:v>1</x:v>
      </x:c>
      <x:c r="L14" s="7" t="b">
        <x:v>1</x:v>
      </x:c>
      <x:c r="M14" s="7" t="b">
        <x:v>1</x:v>
      </x:c>
      <x:c r="N14" s="6" t="n">
        <x:v>0</x:v>
      </x:c>
      <x:c r="O14" s="6" t="n">
        <x:v>0</x:v>
      </x:c>
      <x:c r="P14" s="6" t="n">
        <x:v>0</x:v>
      </x:c>
      <x:c r="Q14" s="6" t="str">
        <x:v>{}</x:v>
      </x:c>
      <x:c r="R14" s="6" t="n">
        <x:v>0</x:v>
      </x:c>
      <x:c r="S14" s="6" t="str">
        <x:v>Pass</x:v>
      </x:c>
      <x:c r="T14" s="6" t="str">
        <x:v>Pass</x:v>
      </x:c>
      <x:c r="U14" s="6" t="str">
        <x:v>Pass</x:v>
      </x:c>
      <x:c r="V14" s="6" t="str">
        <x:v>Pass</x:v>
      </x:c>
      <x:c r="W14" s="6" t="str">
        <x:v>Pass</x:v>
      </x:c>
      <x:c r="X14" s="6" t="str">
        <x:v>Pass</x:v>
      </x:c>
      <x:c r="Y14" s="7" t="b">
        <x:v>0</x:v>
      </x:c>
      <x:c r="Z14" s="6" t="str">
        <x:v>Independent execution reproduced all 3 supplied rows, columns and values (comparison ignores row order and tolerates six-decimal floating-point representation differences). No returned sentinel values were found.</x:v>
      </x:c>
    </x:row>
    <x:row r="15" ht="90" customHeight="1">
      <x:c r="A15" s="6" t="str">
        <x:v>CD2-048</x:v>
      </x:c>
      <x:c r="B15" s="6" t="str">
        <x:v>CD</x:v>
      </x:c>
      <x:c r="C15" s="6" t="str">
        <x:v>sql</x:v>
      </x:c>
      <x:c r="D15" s="6" t="str">
        <x:v>medium</x:v>
      </x:c>
      <x:c r="E15" s="6" t="str">
        <x:v>Do the rock names recorded in the field match the lithology codes logged in drill holes? Compare the two vocabularies by size.</x:v>
      </x:c>
      <x:c r="F15" s="6" t="n">
        <x:v>2</x:v>
      </x:c>
      <x:c r="G15" s="6" t="str">
        <x:v>CD2-048.csv</x:v>
      </x:c>
      <x:c r="H15" s="6" t="str">
        <x:v>CD2-048.csv</x:v>
      </x:c>
      <x:c r="I15" s="6" t="n">
        <x:v>2</x:v>
      </x:c>
      <x:c r="J15" s="6" t="n">
        <x:v>2</x:v>
      </x:c>
      <x:c r="K15" s="7" t="b">
        <x:v>1</x:v>
      </x:c>
      <x:c r="L15" s="7" t="b">
        <x:v>1</x:v>
      </x:c>
      <x:c r="M15" s="7" t="b">
        <x:v>1</x:v>
      </x:c>
      <x:c r="N15" s="6" t="n">
        <x:v>0</x:v>
      </x:c>
      <x:c r="O15" s="6" t="n">
        <x:v>0</x:v>
      </x:c>
      <x:c r="P15" s="6" t="n">
        <x:v>0</x:v>
      </x:c>
      <x:c r="Q15" s="6" t="str">
        <x:v>{}</x:v>
      </x:c>
      <x:c r="R15" s="6" t="n">
        <x:v>0</x:v>
      </x:c>
      <x:c r="S15" s="6" t="str">
        <x:v>Pass</x:v>
      </x:c>
      <x:c r="T15" s="6" t="str">
        <x:v>Pass</x:v>
      </x:c>
      <x:c r="U15" s="6" t="str">
        <x:v>Pass</x:v>
      </x:c>
      <x:c r="V15" s="6" t="str">
        <x:v>Pass</x:v>
      </x:c>
      <x:c r="W15" s="6" t="str">
        <x:v>Pass</x:v>
      </x:c>
      <x:c r="X15" s="6" t="str">
        <x:v>Pass</x:v>
      </x:c>
      <x:c r="Y15" s="7" t="b">
        <x:v>0</x:v>
      </x:c>
      <x:c r="Z15" s="6" t="str">
        <x:v>Independent execution reproduced all 2 supplied rows, columns and values (comparison ignores row order and tolerates six-decimal floating-point representation differences). No returned sentinel values were found.</x:v>
      </x:c>
    </x:row>
    <x:row r="16" ht="90" customHeight="1">
      <x:c r="A16" s="6" t="str">
        <x:v>CD2-052</x:v>
      </x:c>
      <x:c r="B16" s="6" t="str">
        <x:v>CD</x:v>
      </x:c>
      <x:c r="C16" s="6" t="str">
        <x:v>viz</x:v>
      </x:c>
      <x:c r="D16" s="6" t="str">
        <x:v>medium</x:v>
      </x:c>
      <x:c r="E16" s="6" t="str">
        <x:v>Draw a grouped bar chart comparing median grade on the surface side against the drill hole side for five elements.</x:v>
      </x:c>
      <x:c r="F16" s="6" t="n">
        <x:v>1</x:v>
      </x:c>
      <x:c r="G16" s="6" t="str">
        <x:v>CD2-052.png</x:v>
      </x:c>
      <x:c r="H16" s="6" t="str">
        <x:v>CD2-052.png</x:v>
      </x:c>
      <x:c r="I16" s="6" t="str"/>
      <x:c r="J16" s="6" t="str"/>
      <x:c r="K16" s="6" t="str"/>
      <x:c r="L16" s="6" t="str"/>
      <x:c r="M16" s="7" t="b">
        <x:v>1</x:v>
      </x:c>
      <x:c r="N16" s="6" t="str"/>
      <x:c r="O16" s="6" t="str"/>
      <x:c r="P16" s="6" t="str"/>
      <x:c r="Q16" s="6" t="str">
        <x:v>{}</x:v>
      </x:c>
      <x:c r="R16" s="6" t="n">
        <x:v>0</x:v>
      </x:c>
      <x:c r="S16" s="6" t="str">
        <x:v>Pass</x:v>
      </x:c>
      <x:c r="T16" s="6" t="str">
        <x:v>Pass</x:v>
      </x:c>
      <x:c r="U16" s="6" t="str">
        <x:v>Pass</x:v>
      </x:c>
      <x:c r="V16" s="6" t="str">
        <x:v>Pass</x:v>
      </x:c>
      <x:c r="W16" s="6" t="str">
        <x:v>Pass</x:v>
      </x:c>
      <x:c r="X16" s="6" t="str">
        <x:v>Pass</x:v>
      </x:c>
      <x:c r="Y16" s="7" t="b">
        <x:v>0</x:v>
      </x:c>
      <x:c r="Z16" s="6" t="str">
        <x:v>Independent execution reproduced the visual. Perceptual hash similarity is 99.8%; the different pixel dimensions are caused by the verification export DPI. No sentinel values are displayed in the plotted data.</x:v>
      </x:c>
    </x:row>
    <x:row r="17" ht="90" customHeight="1">
      <x:c r="A17" s="6" t="str">
        <x:v>CD3-016</x:v>
      </x:c>
      <x:c r="B17" s="6" t="str">
        <x:v>CD</x:v>
      </x:c>
      <x:c r="C17" s="6" t="str">
        <x:v>geopandas</x:v>
      </x:c>
      <x:c r="D17" s="6" t="str">
        <x:v>hard</x:v>
      </x:c>
      <x:c r="E17" s="6" t="str">
        <x:v>Which 1:250k map sheets contain surface samples but no drill holes at all? List them with their sample counts.</x:v>
      </x:c>
      <x:c r="F17" s="6" t="n">
        <x:v>5</x:v>
      </x:c>
      <x:c r="G17" s="6" t="str">
        <x:v>CD3-016.csv</x:v>
      </x:c>
      <x:c r="H17" s="6" t="str">
        <x:v>CD3-016.csv</x:v>
      </x:c>
      <x:c r="I17" s="6" t="n">
        <x:v>5</x:v>
      </x:c>
      <x:c r="J17" s="6" t="n">
        <x:v>5</x:v>
      </x:c>
      <x:c r="K17" s="7" t="b">
        <x:v>1</x:v>
      </x:c>
      <x:c r="L17" s="7" t="b">
        <x:v>1</x:v>
      </x:c>
      <x:c r="M17" s="7" t="b">
        <x:v>1</x:v>
      </x:c>
      <x:c r="N17" s="6" t="n">
        <x:v>0</x:v>
      </x:c>
      <x:c r="O17" s="6" t="n">
        <x:v>0</x:v>
      </x:c>
      <x:c r="P17" s="6" t="n">
        <x:v>0</x:v>
      </x:c>
      <x:c r="Q17" s="6" t="str">
        <x:v>{}</x:v>
      </x:c>
      <x:c r="R17" s="6" t="n">
        <x:v>0</x:v>
      </x:c>
      <x:c r="S17" s="6" t="str">
        <x:v>Pass</x:v>
      </x:c>
      <x:c r="T17" s="6" t="str">
        <x:v>Pass</x:v>
      </x:c>
      <x:c r="U17" s="6" t="str">
        <x:v>Pass</x:v>
      </x:c>
      <x:c r="V17" s="6" t="str">
        <x:v>Pass</x:v>
      </x:c>
      <x:c r="W17" s="6" t="str">
        <x:v>Pass</x:v>
      </x:c>
      <x:c r="X17" s="6" t="str">
        <x:v>Pass</x:v>
      </x:c>
      <x:c r="Y17" s="7" t="b">
        <x:v>0</x:v>
      </x:c>
      <x:c r="Z17" s="6" t="str">
        <x:v>Independent execution reproduced all 5 supplied rows, columns and values (comparison ignores row order and tolerates six-decimal floating-point representation differences). No returned sentinel values were found.</x:v>
      </x:c>
    </x:row>
    <x:row r="18" ht="90" customHeight="1">
      <x:c r="A18" s="6" t="str">
        <x:v>CD3-025</x:v>
      </x:c>
      <x:c r="B18" s="6" t="str">
        <x:v>CD</x:v>
      </x:c>
      <x:c r="C18" s="6" t="str">
        <x:v>geopandas</x:v>
      </x:c>
      <x:c r="D18" s="6" t="str">
        <x:v>hard</x:v>
      </x:c>
      <x:c r="E18" s="6" t="str">
        <x:v>Where has drilling gone without surface sampling? Count drill holes with no surface sample within 500 m, broken down by region.</x:v>
      </x:c>
      <x:c r="F18" s="6" t="n">
        <x:v>4</x:v>
      </x:c>
      <x:c r="G18" s="6" t="str">
        <x:v>CD3-025.csv</x:v>
      </x:c>
      <x:c r="H18" s="6" t="str">
        <x:v>CD3-025.csv</x:v>
      </x:c>
      <x:c r="I18" s="6" t="n">
        <x:v>4</x:v>
      </x:c>
      <x:c r="J18" s="6" t="n">
        <x:v>4</x:v>
      </x:c>
      <x:c r="K18" s="7" t="b">
        <x:v>1</x:v>
      </x:c>
      <x:c r="L18" s="7" t="b">
        <x:v>1</x:v>
      </x:c>
      <x:c r="M18" s="7" t="b">
        <x:v>1</x:v>
      </x:c>
      <x:c r="N18" s="6" t="n">
        <x:v>0</x:v>
      </x:c>
      <x:c r="O18" s="6" t="n">
        <x:v>0</x:v>
      </x:c>
      <x:c r="P18" s="6" t="n">
        <x:v>0</x:v>
      </x:c>
      <x:c r="Q18" s="6" t="str">
        <x:v>{}</x:v>
      </x:c>
      <x:c r="R18" s="6" t="n">
        <x:v>0</x:v>
      </x:c>
      <x:c r="S18" s="6" t="str">
        <x:v>Pass</x:v>
      </x:c>
      <x:c r="T18" s="6" t="str">
        <x:v>Pass</x:v>
      </x:c>
      <x:c r="U18" s="6" t="str">
        <x:v>Pass</x:v>
      </x:c>
      <x:c r="V18" s="6" t="str">
        <x:v>Pass</x:v>
      </x:c>
      <x:c r="W18" s="6" t="str">
        <x:v>Pass</x:v>
      </x:c>
      <x:c r="X18" s="6" t="str">
        <x:v>Pass</x:v>
      </x:c>
      <x:c r="Y18" s="7" t="b">
        <x:v>0</x:v>
      </x:c>
      <x:c r="Z18" s="6" t="str">
        <x:v>Independent execution reproduced all 4 supplied rows, columns and values (comparison ignores row order and tolerates six-decimal floating-point representation differences). No returned sentinel values were found.</x:v>
      </x:c>
    </x:row>
    <x:row r="19" ht="90" customHeight="1">
      <x:c r="A19" s="6" t="str">
        <x:v>CD3-027</x:v>
      </x:c>
      <x:c r="B19" s="6" t="str">
        <x:v>CD</x:v>
      </x:c>
      <x:c r="C19" s="6" t="str">
        <x:v>geopandas</x:v>
      </x:c>
      <x:c r="D19" s="6" t="str">
        <x:v>hard</x:v>
      </x:c>
      <x:c r="E19" s="6" t="str">
        <x:v>At map-sheet scale: which 1:250k map sheets contain soil gold anomalies above 100 ppb but contain no drill hole with a significant intercept (4 m at 0.5 g/t) anywhere on the sheet? List them with their anomaly counts.</x:v>
      </x:c>
      <x:c r="F19" s="6" t="n">
        <x:v>88</x:v>
      </x:c>
      <x:c r="G19" s="6" t="str">
        <x:v>CD3-027.csv</x:v>
      </x:c>
      <x:c r="H19" s="6" t="str">
        <x:v>CD3-027.csv</x:v>
      </x:c>
      <x:c r="I19" s="6" t="n">
        <x:v>88</x:v>
      </x:c>
      <x:c r="J19" s="6" t="n">
        <x:v>88</x:v>
      </x:c>
      <x:c r="K19" s="7" t="b">
        <x:v>1</x:v>
      </x:c>
      <x:c r="L19" s="7" t="b">
        <x:v>1</x:v>
      </x:c>
      <x:c r="M19" s="7" t="b">
        <x:v>1</x:v>
      </x:c>
      <x:c r="N19" s="6" t="n">
        <x:v>0</x:v>
      </x:c>
      <x:c r="O19" s="6" t="n">
        <x:v>0</x:v>
      </x:c>
      <x:c r="P19" s="6" t="n">
        <x:v>0</x:v>
      </x:c>
      <x:c r="Q19" s="6" t="str">
        <x:v>{}</x:v>
      </x:c>
      <x:c r="R19" s="6" t="n">
        <x:v>0</x:v>
      </x:c>
      <x:c r="S19" s="6" t="str">
        <x:v>Pass</x:v>
      </x:c>
      <x:c r="T19" s="6" t="str">
        <x:v>Pass</x:v>
      </x:c>
      <x:c r="U19" s="6" t="str">
        <x:v>Pass</x:v>
      </x:c>
      <x:c r="V19" s="6" t="str">
        <x:v>Pass</x:v>
      </x:c>
      <x:c r="W19" s="6" t="str">
        <x:v>Pass</x:v>
      </x:c>
      <x:c r="X19" s="6" t="str">
        <x:v>Pass</x:v>
      </x:c>
      <x:c r="Y19" s="7" t="b">
        <x:v>0</x:v>
      </x:c>
      <x:c r="Z19" s="6" t="str">
        <x:v>Independent execution reproduced all 88 supplied rows, columns and values (comparison ignores row order and tolerates six-decimal floating-point representation differences). No returned sentinel values were found.</x:v>
      </x:c>
    </x:row>
    <x:row r="20" ht="90" customHeight="1">
      <x:c r="A20" s="6" t="str">
        <x:v>CD3-028</x:v>
      </x:c>
      <x:c r="B20" s="6" t="str">
        <x:v>CD</x:v>
      </x:c>
      <x:c r="C20" s="6" t="str">
        <x:v>geopandas</x:v>
      </x:c>
      <x:c r="D20" s="6" t="str">
        <x:v>hard</x:v>
      </x:c>
      <x:c r="E20" s="6" t="str">
        <x:v>Two-stage targeting: first find which greenstone terrane has the highest rate of soil gold anomalies above 100 ppb. Then, within that terrane only, list the ten strongest anomalies that have no drill hole within 2 km.</x:v>
      </x:c>
      <x:c r="F20" s="6" t="n">
        <x:v>10</x:v>
      </x:c>
      <x:c r="G20" s="6" t="str">
        <x:v>CD3-028.csv</x:v>
      </x:c>
      <x:c r="H20" s="6" t="str">
        <x:v>CD3-028.csv</x:v>
      </x:c>
      <x:c r="I20" s="6" t="n">
        <x:v>10</x:v>
      </x:c>
      <x:c r="J20" s="6" t="n">
        <x:v>10</x:v>
      </x:c>
      <x:c r="K20" s="7" t="b">
        <x:v>1</x:v>
      </x:c>
      <x:c r="L20" s="7" t="b">
        <x:v>1</x:v>
      </x:c>
      <x:c r="M20" s="7" t="b">
        <x:v>1</x:v>
      </x:c>
      <x:c r="N20" s="6" t="n">
        <x:v>0</x:v>
      </x:c>
      <x:c r="O20" s="6" t="n">
        <x:v>0</x:v>
      </x:c>
      <x:c r="P20" s="6" t="n">
        <x:v>0</x:v>
      </x:c>
      <x:c r="Q20" s="6" t="str">
        <x:v>{}</x:v>
      </x:c>
      <x:c r="R20" s="6" t="n">
        <x:v>0</x:v>
      </x:c>
      <x:c r="S20" s="6" t="str">
        <x:v>Pass</x:v>
      </x:c>
      <x:c r="T20" s="6" t="str">
        <x:v>Pass</x:v>
      </x:c>
      <x:c r="U20" s="6" t="str">
        <x:v>Pass</x:v>
      </x:c>
      <x:c r="V20" s="6" t="str">
        <x:v>Pass</x:v>
      </x:c>
      <x:c r="W20" s="6" t="str">
        <x:v>Pass</x:v>
      </x:c>
      <x:c r="X20" s="6" t="str">
        <x:v>Pass</x:v>
      </x:c>
      <x:c r="Y20" s="7" t="b">
        <x:v>0</x:v>
      </x:c>
      <x:c r="Z20" s="6" t="str">
        <x:v>Independent execution reproduced all 10 supplied rows, columns and values (comparison ignores row order and tolerates six-decimal floating-point representation differences). No returned sentinel values were found.</x:v>
      </x:c>
    </x:row>
    <x:row r="21" ht="90" customHeight="1">
      <x:c r="A21" s="6" t="str">
        <x:v>CD3-033</x:v>
      </x:c>
      <x:c r="B21" s="6" t="str">
        <x:v>CD</x:v>
      </x:c>
      <x:c r="C21" s="6" t="str">
        <x:v>geopandas</x:v>
      </x:c>
      <x:c r="D21" s="6" t="str">
        <x:v>medium</x:v>
      </x:c>
      <x:c r="E21" s="6" t="str">
        <x:v>Which named basins contain surface samples but no drill holes at all? List them with sample counts.</x:v>
      </x:c>
      <x:c r="F21" s="6" t="n">
        <x:v>100</x:v>
      </x:c>
      <x:c r="G21" s="6" t="str">
        <x:v>CD3-033.csv</x:v>
      </x:c>
      <x:c r="H21" s="6" t="str">
        <x:v>CD3-033.csv</x:v>
      </x:c>
      <x:c r="I21" s="6" t="n">
        <x:v>100</x:v>
      </x:c>
      <x:c r="J21" s="6" t="n">
        <x:v>100</x:v>
      </x:c>
      <x:c r="K21" s="7" t="b">
        <x:v>1</x:v>
      </x:c>
      <x:c r="L21" s="7" t="b">
        <x:v>1</x:v>
      </x:c>
      <x:c r="M21" s="7" t="b">
        <x:v>1</x:v>
      </x:c>
      <x:c r="N21" s="6" t="n">
        <x:v>0</x:v>
      </x:c>
      <x:c r="O21" s="6" t="n">
        <x:v>0</x:v>
      </x:c>
      <x:c r="P21" s="6" t="n">
        <x:v>0</x:v>
      </x:c>
      <x:c r="Q21" s="6" t="str">
        <x:v>{}</x:v>
      </x:c>
      <x:c r="R21" s="6" t="n">
        <x:v>0</x:v>
      </x:c>
      <x:c r="S21" s="6" t="str">
        <x:v>Pass</x:v>
      </x:c>
      <x:c r="T21" s="6" t="str">
        <x:v>Pass</x:v>
      </x:c>
      <x:c r="U21" s="6" t="str">
        <x:v>Pass</x:v>
      </x:c>
      <x:c r="V21" s="6" t="str">
        <x:v>Pass</x:v>
      </x:c>
      <x:c r="W21" s="6" t="str">
        <x:v>Pass</x:v>
      </x:c>
      <x:c r="X21" s="6" t="str">
        <x:v>Pass</x:v>
      </x:c>
      <x:c r="Y21" s="7" t="b">
        <x:v>0</x:v>
      </x:c>
      <x:c r="Z21" s="6" t="str">
        <x:v>Independent execution reproduced all 100 supplied rows, columns and values (comparison ignores row order and tolerates six-decimal floating-point representation differences). No returned sentinel values were found.</x:v>
      </x:c>
    </x:row>
    <x:row r="22" ht="90" customHeight="1">
      <x:c r="A22" s="6" t="str">
        <x:v>CD3-041</x:v>
      </x:c>
      <x:c r="B22" s="6" t="str">
        <x:v>CD</x:v>
      </x:c>
      <x:c r="C22" s="6" t="str">
        <x:v>sql</x:v>
      </x:c>
      <x:c r="D22" s="6" t="str">
        <x:v>medium</x:v>
      </x:c>
      <x:c r="E22" s="6" t="str">
        <x:v>Which mineral occurrences of any commodity have no drill hole within 5 km? Group the answer by commodity.</x:v>
      </x:c>
      <x:c r="F22" s="6" t="n">
        <x:v>15</x:v>
      </x:c>
      <x:c r="G22" s="6" t="str">
        <x:v>CD3-041.csv</x:v>
      </x:c>
      <x:c r="H22" s="6" t="str">
        <x:v>CD3-041.csv</x:v>
      </x:c>
      <x:c r="I22" s="6" t="n">
        <x:v>15</x:v>
      </x:c>
      <x:c r="J22" s="6" t="n">
        <x:v>15</x:v>
      </x:c>
      <x:c r="K22" s="7" t="b">
        <x:v>1</x:v>
      </x:c>
      <x:c r="L22" s="7" t="b">
        <x:v>1</x:v>
      </x:c>
      <x:c r="M22" s="7" t="b">
        <x:v>1</x:v>
      </x:c>
      <x:c r="N22" s="6" t="n">
        <x:v>0</x:v>
      </x:c>
      <x:c r="O22" s="6" t="n">
        <x:v>0</x:v>
      </x:c>
      <x:c r="P22" s="6" t="n">
        <x:v>0</x:v>
      </x:c>
      <x:c r="Q22" s="6" t="str">
        <x:v>{}</x:v>
      </x:c>
      <x:c r="R22" s="6" t="n">
        <x:v>0</x:v>
      </x:c>
      <x:c r="S22" s="6" t="str">
        <x:v>Pass</x:v>
      </x:c>
      <x:c r="T22" s="6" t="str">
        <x:v>Pass</x:v>
      </x:c>
      <x:c r="U22" s="6" t="str">
        <x:v>Pass</x:v>
      </x:c>
      <x:c r="V22" s="6" t="str">
        <x:v>Pass</x:v>
      </x:c>
      <x:c r="W22" s="6" t="str">
        <x:v>Pass</x:v>
      </x:c>
      <x:c r="X22" s="6" t="str">
        <x:v>Pass</x:v>
      </x:c>
      <x:c r="Y22" s="7" t="b">
        <x:v>0</x:v>
      </x:c>
      <x:c r="Z22" s="6" t="str">
        <x:v>Independent execution reproduced all 15 supplied rows, columns and values (comparison ignores row order and tolerates six-decimal floating-point representation differences). No returned sentinel values were found.</x:v>
      </x:c>
    </x:row>
    <x:row r="23" ht="90" customHeight="1">
      <x:c r="A23" s="6" t="str">
        <x:v>CD3-048</x:v>
      </x:c>
      <x:c r="B23" s="6" t="str">
        <x:v>CD</x:v>
      </x:c>
      <x:c r="C23" s="6" t="str">
        <x:v>sql</x:v>
      </x:c>
      <x:c r="D23" s="6" t="str">
        <x:v>easy</x:v>
      </x:c>
      <x:c r="E23" s="6" t="str">
        <x:v>How many mineral occurrences have no field observation within 1 km of them?</x:v>
      </x:c>
      <x:c r="F23" s="6" t="n">
        <x:v>1</x:v>
      </x:c>
      <x:c r="G23" s="6" t="str">
        <x:v>CD3-048.csv</x:v>
      </x:c>
      <x:c r="H23" s="6" t="str">
        <x:v>CD3-048.csv</x:v>
      </x:c>
      <x:c r="I23" s="6" t="n">
        <x:v>1</x:v>
      </x:c>
      <x:c r="J23" s="6" t="n">
        <x:v>1</x:v>
      </x:c>
      <x:c r="K23" s="7" t="b">
        <x:v>1</x:v>
      </x:c>
      <x:c r="L23" s="7" t="b">
        <x:v>1</x:v>
      </x:c>
      <x:c r="M23" s="7" t="b">
        <x:v>1</x:v>
      </x:c>
      <x:c r="N23" s="6" t="n">
        <x:v>0</x:v>
      </x:c>
      <x:c r="O23" s="6" t="n">
        <x:v>0</x:v>
      </x:c>
      <x:c r="P23" s="6" t="n">
        <x:v>0</x:v>
      </x:c>
      <x:c r="Q23" s="6" t="str">
        <x:v>{}</x:v>
      </x:c>
      <x:c r="R23" s="6" t="n">
        <x:v>0</x:v>
      </x:c>
      <x:c r="S23" s="6" t="str">
        <x:v>Pass</x:v>
      </x:c>
      <x:c r="T23" s="6" t="str">
        <x:v>Pass</x:v>
      </x:c>
      <x:c r="U23" s="6" t="str">
        <x:v>Pass</x:v>
      </x:c>
      <x:c r="V23" s="6" t="str">
        <x:v>Pass</x:v>
      </x:c>
      <x:c r="W23" s="6" t="str">
        <x:v>Pass</x:v>
      </x:c>
      <x:c r="X23" s="6" t="str">
        <x:v>Pass</x:v>
      </x:c>
      <x:c r="Y23" s="7" t="b">
        <x:v>0</x:v>
      </x:c>
      <x:c r="Z23" s="6" t="str">
        <x:v>Independent execution reproduced all 1 supplied rows, columns and values (comparison ignores row order and tolerates six-decimal floating-point representation differences). No returned sentinel values were found.</x:v>
      </x:c>
    </x:row>
    <x:row r="24" ht="90" customHeight="1">
      <x:c r="A24" s="6" t="str">
        <x:v>CD3-054</x:v>
      </x:c>
      <x:c r="B24" s="6" t="str">
        <x:v>CD</x:v>
      </x:c>
      <x:c r="C24" s="6" t="str">
        <x:v>sql</x:v>
      </x:c>
      <x:c r="D24" s="6" t="str">
        <x:v>medium</x:v>
      </x:c>
      <x:c r="E24" s="6" t="str">
        <x:v>Which named palaeovalleys have surface samples but no drilling at all?</x:v>
      </x:c>
      <x:c r="F24" s="6" t="n">
        <x:v>2</x:v>
      </x:c>
      <x:c r="G24" s="6" t="str">
        <x:v>CD3-054.csv</x:v>
      </x:c>
      <x:c r="H24" s="6" t="str">
        <x:v>CD3-054.csv</x:v>
      </x:c>
      <x:c r="I24" s="6" t="n">
        <x:v>2</x:v>
      </x:c>
      <x:c r="J24" s="6" t="n">
        <x:v>2</x:v>
      </x:c>
      <x:c r="K24" s="7" t="b">
        <x:v>1</x:v>
      </x:c>
      <x:c r="L24" s="7" t="b">
        <x:v>1</x:v>
      </x:c>
      <x:c r="M24" s="7" t="b">
        <x:v>1</x:v>
      </x:c>
      <x:c r="N24" s="6" t="n">
        <x:v>0</x:v>
      </x:c>
      <x:c r="O24" s="6" t="n">
        <x:v>0</x:v>
      </x:c>
      <x:c r="P24" s="6" t="n">
        <x:v>0</x:v>
      </x:c>
      <x:c r="Q24" s="6" t="str">
        <x:v>{}</x:v>
      </x:c>
      <x:c r="R24" s="6" t="n">
        <x:v>0</x:v>
      </x:c>
      <x:c r="S24" s="6" t="str">
        <x:v>Pass</x:v>
      </x:c>
      <x:c r="T24" s="6" t="str">
        <x:v>Pass</x:v>
      </x:c>
      <x:c r="U24" s="6" t="str">
        <x:v>Pass</x:v>
      </x:c>
      <x:c r="V24" s="6" t="str">
        <x:v>Pass</x:v>
      </x:c>
      <x:c r="W24" s="6" t="str">
        <x:v>Pass</x:v>
      </x:c>
      <x:c r="X24" s="6" t="str">
        <x:v>Pass</x:v>
      </x:c>
      <x:c r="Y24" s="7" t="b">
        <x:v>0</x:v>
      </x:c>
      <x:c r="Z24" s="6" t="str">
        <x:v>Independent execution reproduced all 2 supplied rows, columns and values (comparison ignores row order and tolerates six-decimal floating-point representation differences). No returned sentinel values were found.</x:v>
      </x:c>
    </x:row>
    <x:row r="25" ht="90" customHeight="1">
      <x:c r="A25" s="6" t="str">
        <x:v>CD4-019</x:v>
      </x:c>
      <x:c r="B25" s="6" t="str">
        <x:v>CD</x:v>
      </x:c>
      <x:c r="C25" s="6" t="str">
        <x:v>viz</x:v>
      </x:c>
      <x:c r="D25" s="6" t="str">
        <x:v>hard</x:v>
      </x:c>
      <x:c r="E25" s="6" t="str">
        <x:v>Not a map: scatter each soil gold anomaly's value against the maximum downhole gold of its nearest hole within 1 km, on log-log axes with a 1:1 reference line.</x:v>
      </x:c>
      <x:c r="F25" s="6" t="n">
        <x:v>1</x:v>
      </x:c>
      <x:c r="G25" s="6" t="str">
        <x:v>CD4-019.png</x:v>
      </x:c>
      <x:c r="H25" s="6" t="str">
        <x:v>CD4-019.png</x:v>
      </x:c>
      <x:c r="I25" s="6" t="str"/>
      <x:c r="J25" s="6" t="str"/>
      <x:c r="K25" s="6" t="str"/>
      <x:c r="L25" s="6" t="str"/>
      <x:c r="M25" s="7" t="b">
        <x:v>1</x:v>
      </x:c>
      <x:c r="N25" s="6" t="str"/>
      <x:c r="O25" s="6" t="str"/>
      <x:c r="P25" s="6" t="str"/>
      <x:c r="Q25" s="6" t="str">
        <x:v>{}</x:v>
      </x:c>
      <x:c r="R25" s="6" t="n">
        <x:v>0</x:v>
      </x:c>
      <x:c r="S25" s="6" t="str">
        <x:v>Pass</x:v>
      </x:c>
      <x:c r="T25" s="6" t="str">
        <x:v>Pass</x:v>
      </x:c>
      <x:c r="U25" s="6" t="str">
        <x:v>Pass</x:v>
      </x:c>
      <x:c r="V25" s="6" t="str">
        <x:v>Pass</x:v>
      </x:c>
      <x:c r="W25" s="6" t="str">
        <x:v>Pass</x:v>
      </x:c>
      <x:c r="X25" s="6" t="str">
        <x:v>Pass</x:v>
      </x:c>
      <x:c r="Y25" s="7" t="b">
        <x:v>0</x:v>
      </x:c>
      <x:c r="Z25" s="6" t="str">
        <x:v>Independent execution reproduced the visual. Perceptual hash similarity is 99.5%; the different pixel dimensions are caused by the verification export DPI. No sentinel values are displayed in the plotted data.</x:v>
      </x:c>
    </x:row>
    <x:row r="26" ht="90" customHeight="1">
      <x:c r="A26" s="6" t="str">
        <x:v>CD4-026</x:v>
      </x:c>
      <x:c r="B26" s="6" t="str">
        <x:v>CD</x:v>
      </x:c>
      <x:c r="C26" s="6" t="str">
        <x:v>viz</x:v>
      </x:c>
      <x:c r="D26" s="6" t="str">
        <x:v>hard</x:v>
      </x:c>
      <x:c r="E26" s="6" t="str">
        <x:v>Map the Kalgoorlie-Kambalda region showing soil gold anomalies coloured by whether the nearest hole within 1 km returned a significant intercept (4 m at 0.5 g/t), no intercept, or has no hole nearby at all, over a grey backdrop of all drilling.</x:v>
      </x:c>
      <x:c r="F26" s="6" t="n">
        <x:v>1</x:v>
      </x:c>
      <x:c r="G26" s="6" t="str">
        <x:v>CD4-026.png</x:v>
      </x:c>
      <x:c r="H26" s="6" t="str">
        <x:v>CD4-026.png</x:v>
      </x:c>
      <x:c r="I26" s="6" t="str"/>
      <x:c r="J26" s="6" t="str"/>
      <x:c r="K26" s="6" t="str"/>
      <x:c r="L26" s="6" t="str"/>
      <x:c r="M26" s="7" t="b">
        <x:v>1</x:v>
      </x:c>
      <x:c r="N26" s="6" t="str"/>
      <x:c r="O26" s="6" t="str"/>
      <x:c r="P26" s="6" t="str"/>
      <x:c r="Q26" s="6" t="str">
        <x:v>{}</x:v>
      </x:c>
      <x:c r="R26" s="6" t="n">
        <x:v>0</x:v>
      </x:c>
      <x:c r="S26" s="6" t="str">
        <x:v>Fail</x:v>
      </x:c>
      <x:c r="T26" s="6" t="str">
        <x:v>Pass</x:v>
      </x:c>
      <x:c r="U26" s="6" t="str">
        <x:v>Pass</x:v>
      </x:c>
      <x:c r="V26" s="6" t="str">
        <x:v>Pass</x:v>
      </x:c>
      <x:c r="W26" s="6" t="str">
        <x:v>Pass</x:v>
      </x:c>
      <x:c r="X26" s="6" t="str">
        <x:v>Fail</x:v>
      </x:c>
      <x:c r="Y26" s="7" t="b">
        <x:v>0</x:v>
      </x:c>
      <x:c r="Z26" s="6" t="str">
        <x:v>Fail executability: the supplied code raises a NumPy TypeError because the second np.select condition is not a strict Boolean array. Adding .astype(bool) after fillna(False) makes it run and reproduces the supplied map at 98.6% perceptual-hash similarity; the spatial and classification logic otherwise match.</x:v>
      </x:c>
    </x:row>
    <x:row r="27" ht="90" customHeight="1">
      <x:c r="A27" s="6" t="str">
        <x:v>CD4-031</x:v>
      </x:c>
      <x:c r="B27" s="6" t="str">
        <x:v>CD</x:v>
      </x:c>
      <x:c r="C27" s="6" t="str">
        <x:v>viz</x:v>
      </x:c>
      <x:c r="D27" s="6" t="str">
        <x:v>hard</x:v>
      </x:c>
      <x:c r="E27" s="6" t="str">
        <x:v>Map the tin occurrences against drilling in the Kalgoorlie-Kambalda region.</x:v>
      </x:c>
      <x:c r="F27" s="6" t="n">
        <x:v>1</x:v>
      </x:c>
      <x:c r="G27" s="6" t="str">
        <x:v>CD4-031.png</x:v>
      </x:c>
      <x:c r="H27" s="6" t="str">
        <x:v>CD4-031.png</x:v>
      </x:c>
      <x:c r="I27" s="6" t="str"/>
      <x:c r="J27" s="6" t="str"/>
      <x:c r="K27" s="6" t="str"/>
      <x:c r="L27" s="6" t="str"/>
      <x:c r="M27" s="7" t="b">
        <x:v>1</x:v>
      </x:c>
      <x:c r="N27" s="6" t="str"/>
      <x:c r="O27" s="6" t="str"/>
      <x:c r="P27" s="6" t="str"/>
      <x:c r="Q27" s="6" t="str">
        <x:v>{}</x:v>
      </x:c>
      <x:c r="R27" s="6" t="n">
        <x:v>0</x:v>
      </x:c>
      <x:c r="S27" s="6" t="str">
        <x:v>Pass</x:v>
      </x:c>
      <x:c r="T27" s="6" t="str">
        <x:v>Pass</x:v>
      </x:c>
      <x:c r="U27" s="6" t="str">
        <x:v>Pass</x:v>
      </x:c>
      <x:c r="V27" s="6" t="str">
        <x:v>Pass</x:v>
      </x:c>
      <x:c r="W27" s="6" t="str">
        <x:v>Pass</x:v>
      </x:c>
      <x:c r="X27" s="6" t="str">
        <x:v>Pass</x:v>
      </x:c>
      <x:c r="Y27" s="7" t="b">
        <x:v>0</x:v>
      </x:c>
      <x:c r="Z27" s="6" t="str">
        <x:v>Independent execution reproduced the visual. Perceptual hash similarity is 98.3%; the different pixel dimensions are caused by the verification export DPI. No sentinel values are displayed in the plotted data.</x:v>
      </x:c>
    </x:row>
    <x:row r="28" ht="90" customHeight="1">
      <x:c r="A28" s="6" t="str">
        <x:v>CD4-037</x:v>
      </x:c>
      <x:c r="B28" s="6" t="str">
        <x:v>CD</x:v>
      </x:c>
      <x:c r="C28" s="6" t="str">
        <x:v>sql</x:v>
      </x:c>
      <x:c r="D28" s="6" t="str">
        <x:v>easy</x:v>
      </x:c>
      <x:c r="E28" s="6" t="str">
        <x:v>Prepare a plot-ready table of fault segments in the Kalgoorlie box with their length in kilometres.</x:v>
      </x:c>
      <x:c r="F28" s="6" t="n">
        <x:v>20</x:v>
      </x:c>
      <x:c r="G28" s="6" t="str">
        <x:v>CD4-037.csv</x:v>
      </x:c>
      <x:c r="H28" s="6" t="str">
        <x:v>CD4-037.csv</x:v>
      </x:c>
      <x:c r="I28" s="6" t="n">
        <x:v>20</x:v>
      </x:c>
      <x:c r="J28" s="6" t="n">
        <x:v>20</x:v>
      </x:c>
      <x:c r="K28" s="7" t="b">
        <x:v>1</x:v>
      </x:c>
      <x:c r="L28" s="7" t="b">
        <x:v>1</x:v>
      </x:c>
      <x:c r="M28" s="7" t="b">
        <x:v>1</x:v>
      </x:c>
      <x:c r="N28" s="6" t="n">
        <x:v>0</x:v>
      </x:c>
      <x:c r="O28" s="6" t="n">
        <x:v>0</x:v>
      </x:c>
      <x:c r="P28" s="6" t="n">
        <x:v>20</x:v>
      </x:c>
      <x:c r="Q28" s="6" t="str">
        <x:v>{"centroid_lat": 20}</x:v>
      </x:c>
      <x:c r="R28" s="6" t="n">
        <x:v>0</x:v>
      </x:c>
      <x:c r="S28" s="6" t="str">
        <x:v>Pass</x:v>
      </x:c>
      <x:c r="T28" s="6" t="str">
        <x:v>Pass</x:v>
      </x:c>
      <x:c r="U28" s="6" t="str">
        <x:v>Pass</x:v>
      </x:c>
      <x:c r="V28" s="6" t="str">
        <x:v>Pass</x:v>
      </x:c>
      <x:c r="W28" s="6" t="str">
        <x:v>Pass</x:v>
      </x:c>
      <x:c r="X28" s="6" t="str">
        <x:v>Pass</x:v>
      </x:c>
      <x:c r="Y28" s="7" t="b">
        <x:v>0</x:v>
      </x:c>
      <x:c r="Z28" s="6" t="str">
        <x:v>Independent execution reproduced all 20 supplied rows, columns and values (comparison ignores row order and tolerates six-decimal floating-point representation differences). No returned sentinel values were found.</x:v>
      </x:c>
    </x:row>
    <x:row r="29" ht="90" customHeight="1">
      <x:c r="A29" s="6" t="str">
        <x:v>CD4-041</x:v>
      </x:c>
      <x:c r="B29" s="6" t="str">
        <x:v>CD</x:v>
      </x:c>
      <x:c r="C29" s="6" t="str">
        <x:v>viz</x:v>
      </x:c>
      <x:c r="D29" s="6" t="str">
        <x:v>medium</x:v>
      </x:c>
      <x:c r="E29" s="6" t="str">
        <x:v>Draw the mineral occurrences of the Kalgoorlie box coloured by commodity, over the drilling.</x:v>
      </x:c>
      <x:c r="F29" s="6" t="n">
        <x:v>1</x:v>
      </x:c>
      <x:c r="G29" s="6" t="str">
        <x:v>CD4-041.png</x:v>
      </x:c>
      <x:c r="H29" s="6" t="str">
        <x:v>CD4-041.png</x:v>
      </x:c>
      <x:c r="I29" s="6" t="str"/>
      <x:c r="J29" s="6" t="str"/>
      <x:c r="K29" s="6" t="str"/>
      <x:c r="L29" s="6" t="str"/>
      <x:c r="M29" s="7" t="b">
        <x:v>1</x:v>
      </x:c>
      <x:c r="N29" s="6" t="str"/>
      <x:c r="O29" s="6" t="str"/>
      <x:c r="P29" s="6" t="str"/>
      <x:c r="Q29" s="6" t="str">
        <x:v>{}</x:v>
      </x:c>
      <x:c r="R29" s="6" t="n">
        <x:v>0</x:v>
      </x:c>
      <x:c r="S29" s="6" t="str">
        <x:v>Pass</x:v>
      </x:c>
      <x:c r="T29" s="6" t="str">
        <x:v>Pass</x:v>
      </x:c>
      <x:c r="U29" s="6" t="str">
        <x:v>Pass</x:v>
      </x:c>
      <x:c r="V29" s="6" t="str">
        <x:v>Pass</x:v>
      </x:c>
      <x:c r="W29" s="6" t="str">
        <x:v>Pass</x:v>
      </x:c>
      <x:c r="X29" s="6" t="str">
        <x:v>Pass</x:v>
      </x:c>
      <x:c r="Y29" s="7" t="b">
        <x:v>0</x:v>
      </x:c>
      <x:c r="Z29" s="6" t="str">
        <x:v>Independent execution reproduced the visual. Perceptual hash similarity is 98.1%; the different pixel dimensions are caused by the verification export DPI. No sentinel values are displayed in the plotted data.</x:v>
      </x:c>
    </x:row>
    <x:row r="30" ht="90" customHeight="1">
      <x:c r="A30" s="6" t="str">
        <x:v>CD4-043</x:v>
      </x:c>
      <x:c r="B30" s="6" t="str">
        <x:v>CD</x:v>
      </x:c>
      <x:c r="C30" s="6" t="str">
        <x:v>python</x:v>
      </x:c>
      <x:c r="D30" s="6" t="str">
        <x:v>easy</x:v>
      </x:c>
      <x:c r="E30" s="6" t="str">
        <x:v>Build a table for a three-layer Kambalda map: counts of drill collars, surface samples and mineral occurrences inside the box.</x:v>
      </x:c>
      <x:c r="F30" s="6" t="n">
        <x:v>3</x:v>
      </x:c>
      <x:c r="G30" s="6" t="str">
        <x:v>CD4-043.csv</x:v>
      </x:c>
      <x:c r="H30" s="6" t="str">
        <x:v>CD4-043.csv</x:v>
      </x:c>
      <x:c r="I30" s="6" t="n">
        <x:v>3</x:v>
      </x:c>
      <x:c r="J30" s="6" t="n">
        <x:v>3</x:v>
      </x:c>
      <x:c r="K30" s="7" t="b">
        <x:v>1</x:v>
      </x:c>
      <x:c r="L30" s="7" t="b">
        <x:v>1</x:v>
      </x:c>
      <x:c r="M30" s="7" t="b">
        <x:v>1</x:v>
      </x:c>
      <x:c r="N30" s="6" t="n">
        <x:v>0</x:v>
      </x:c>
      <x:c r="O30" s="6" t="n">
        <x:v>0</x:v>
      </x:c>
      <x:c r="P30" s="6" t="n">
        <x:v>0</x:v>
      </x:c>
      <x:c r="Q30" s="6" t="str">
        <x:v>{}</x:v>
      </x:c>
      <x:c r="R30" s="6" t="n">
        <x:v>0</x:v>
      </x:c>
      <x:c r="S30" s="6" t="str">
        <x:v>Pass</x:v>
      </x:c>
      <x:c r="T30" s="6" t="str">
        <x:v>Pass</x:v>
      </x:c>
      <x:c r="U30" s="6" t="str">
        <x:v>Pass</x:v>
      </x:c>
      <x:c r="V30" s="6" t="str">
        <x:v>Pass</x:v>
      </x:c>
      <x:c r="W30" s="6" t="str">
        <x:v>Pass</x:v>
      </x:c>
      <x:c r="X30" s="6" t="str">
        <x:v>Pass</x:v>
      </x:c>
      <x:c r="Y30" s="7" t="b">
        <x:v>0</x:v>
      </x:c>
      <x:c r="Z30" s="6" t="str">
        <x:v>Independent execution reproduced all 3 supplied rows, columns and values (comparison ignores row order and tolerates six-decimal floating-point representation differences). No returned sentinel values were found.</x:v>
      </x:c>
    </x:row>
    <x:row r="31" ht="90" customHeight="1">
      <x:c r="A31" s="6" t="str">
        <x:v>CD4-052</x:v>
      </x:c>
      <x:c r="B31" s="6" t="str">
        <x:v>CD</x:v>
      </x:c>
      <x:c r="C31" s="6" t="str">
        <x:v>geopandas</x:v>
      </x:c>
      <x:c r="D31" s="6" t="str">
        <x:v>medium</x:v>
      </x:c>
      <x:c r="E31" s="6" t="str">
        <x:v>Prepare choropleth class breaks for drilling intensity per map sheet: holes per square kilometre in five quantile classes.</x:v>
      </x:c>
      <x:c r="F31" s="6" t="n">
        <x:v>11</x:v>
      </x:c>
      <x:c r="G31" s="6" t="str">
        <x:v>CD4-052.csv</x:v>
      </x:c>
      <x:c r="H31" s="6" t="str">
        <x:v>CD4-052.csv</x:v>
      </x:c>
      <x:c r="I31" s="6" t="n">
        <x:v>11</x:v>
      </x:c>
      <x:c r="J31" s="6" t="n">
        <x:v>11</x:v>
      </x:c>
      <x:c r="K31" s="7" t="b">
        <x:v>1</x:v>
      </x:c>
      <x:c r="L31" s="7" t="b">
        <x:v>1</x:v>
      </x:c>
      <x:c r="M31" s="7" t="b">
        <x:v>1</x:v>
      </x:c>
      <x:c r="N31" s="6" t="n">
        <x:v>0</x:v>
      </x:c>
      <x:c r="O31" s="6" t="n">
        <x:v>0</x:v>
      </x:c>
      <x:c r="P31" s="6" t="n">
        <x:v>0</x:v>
      </x:c>
      <x:c r="Q31" s="6" t="str">
        <x:v>{}</x:v>
      </x:c>
      <x:c r="R31" s="6" t="n">
        <x:v>0</x:v>
      </x:c>
      <x:c r="S31" s="6" t="str">
        <x:v>Pass</x:v>
      </x:c>
      <x:c r="T31" s="6" t="str">
        <x:v>Pass</x:v>
      </x:c>
      <x:c r="U31" s="6" t="str">
        <x:v>Pass</x:v>
      </x:c>
      <x:c r="V31" s="6" t="str">
        <x:v>Pass</x:v>
      </x:c>
      <x:c r="W31" s="6" t="str">
        <x:v>Pass</x:v>
      </x:c>
      <x:c r="X31" s="6" t="str">
        <x:v>Pass</x:v>
      </x:c>
      <x:c r="Y31" s="7" t="b">
        <x:v>0</x:v>
      </x:c>
      <x:c r="Z31" s="6" t="str">
        <x:v>Independent execution reproduced all 11 supplied rows, columns and values (comparison ignores row order and tolerates six-decimal floating-point representation differences). No returned sentinel values were found.</x:v>
      </x:c>
    </x:row>
    <x:row r="32" ht="90" customHeight="1">
      <x:c r="A32" s="6" t="str">
        <x:v>CD4-055</x:v>
      </x:c>
      <x:c r="B32" s="6" t="str">
        <x:v>CD</x:v>
      </x:c>
      <x:c r="C32" s="6" t="str">
        <x:v>viz</x:v>
      </x:c>
      <x:c r="D32" s="6" t="str">
        <x:v>hard</x:v>
      </x:c>
      <x:c r="E32" s="6" t="str">
        <x:v>Overlay an interpolated soil gold surface with the drill collars, so it is visible which anomalies have been tested.</x:v>
      </x:c>
      <x:c r="F32" s="6" t="n">
        <x:v>1</x:v>
      </x:c>
      <x:c r="G32" s="6" t="str">
        <x:v>CD4-055.png</x:v>
      </x:c>
      <x:c r="H32" s="6" t="str">
        <x:v>CD4-055.png</x:v>
      </x:c>
      <x:c r="I32" s="6" t="str"/>
      <x:c r="J32" s="6" t="str"/>
      <x:c r="K32" s="6" t="str"/>
      <x:c r="L32" s="6" t="str"/>
      <x:c r="M32" s="7" t="b">
        <x:v>1</x:v>
      </x:c>
      <x:c r="N32" s="6" t="str"/>
      <x:c r="O32" s="6" t="str"/>
      <x:c r="P32" s="6" t="str"/>
      <x:c r="Q32" s="6" t="str">
        <x:v>{}</x:v>
      </x:c>
      <x:c r="R32" s="6" t="n">
        <x:v>0</x:v>
      </x:c>
      <x:c r="S32" s="6" t="str">
        <x:v>Pass</x:v>
      </x:c>
      <x:c r="T32" s="6" t="str">
        <x:v>Pass</x:v>
      </x:c>
      <x:c r="U32" s="6" t="str">
        <x:v>Pass</x:v>
      </x:c>
      <x:c r="V32" s="6" t="str">
        <x:v>Pass</x:v>
      </x:c>
      <x:c r="W32" s="6" t="str">
        <x:v>Pass</x:v>
      </x:c>
      <x:c r="X32" s="6" t="str">
        <x:v>Pass</x:v>
      </x:c>
      <x:c r="Y32" s="7" t="b">
        <x:v>0</x:v>
      </x:c>
      <x:c r="Z32" s="6" t="str">
        <x:v>Independent execution reproduced the visual. Perceptual hash similarity is 99.3%; the different pixel dimensions are caused by the verification export DPI. No sentinel values are displayed in the plotted data.</x:v>
      </x:c>
    </x:row>
    <x:row r="33" ht="90" customHeight="1">
      <x:c r="A33" s="6" t="str">
        <x:v>NS1-016</x:v>
      </x:c>
      <x:c r="B33" s="6" t="str">
        <x:v>NS</x:v>
      </x:c>
      <x:c r="C33" s="6" t="str">
        <x:v>sql</x:v>
      </x:c>
      <x:c r="D33" s="6" t="str">
        <x:v>medium</x:v>
      </x:c>
      <x:c r="E33" s="6" t="str">
        <x:v>The sample-type lookup table maps messy field values to standard codes. Which standard sample type would a field value of 'Termite mound' fall under, and what is its full synonym list?</x:v>
      </x:c>
      <x:c r="F33" s="6" t="n">
        <x:v>1</x:v>
      </x:c>
      <x:c r="G33" s="6" t="str">
        <x:v>NS1-016.csv</x:v>
      </x:c>
      <x:c r="H33" s="6" t="str">
        <x:v>NS1-016.csv</x:v>
      </x:c>
      <x:c r="I33" s="6" t="n">
        <x:v>1</x:v>
      </x:c>
      <x:c r="J33" s="6" t="n">
        <x:v>1</x:v>
      </x:c>
      <x:c r="K33" s="7" t="b">
        <x:v>1</x:v>
      </x:c>
      <x:c r="L33" s="7" t="b">
        <x:v>1</x:v>
      </x:c>
      <x:c r="M33" s="7" t="b">
        <x:v>1</x:v>
      </x:c>
      <x:c r="N33" s="6" t="n">
        <x:v>0</x:v>
      </x:c>
      <x:c r="O33" s="6" t="n">
        <x:v>0</x:v>
      </x:c>
      <x:c r="P33" s="6" t="n">
        <x:v>0</x:v>
      </x:c>
      <x:c r="Q33" s="6" t="str">
        <x:v>{}</x:v>
      </x:c>
      <x:c r="R33" s="6" t="n">
        <x:v>0</x:v>
      </x:c>
      <x:c r="S33" s="6" t="str">
        <x:v>Pass</x:v>
      </x:c>
      <x:c r="T33" s="6" t="str">
        <x:v>Pass</x:v>
      </x:c>
      <x:c r="U33" s="6" t="str">
        <x:v>Pass</x:v>
      </x:c>
      <x:c r="V33" s="6" t="str">
        <x:v>Pass</x:v>
      </x:c>
      <x:c r="W33" s="6" t="str">
        <x:v>Pass</x:v>
      </x:c>
      <x:c r="X33" s="6" t="str">
        <x:v>Pass</x:v>
      </x:c>
      <x:c r="Y33" s="7" t="b">
        <x:v>0</x:v>
      </x:c>
      <x:c r="Z33" s="6" t="str">
        <x:v>Independent execution reproduced all 1 supplied rows, columns and values (comparison ignores row order and tolerates six-decimal floating-point representation differences). No returned sentinel values were found.</x:v>
      </x:c>
    </x:row>
    <x:row r="34" ht="90" customHeight="1">
      <x:c r="A34" s="6" t="str">
        <x:v>NS1-018</x:v>
      </x:c>
      <x:c r="B34" s="6" t="str">
        <x:v>NS</x:v>
      </x:c>
      <x:c r="C34" s="6" t="str">
        <x:v>sql</x:v>
      </x:c>
      <x:c r="D34" s="6" t="str">
        <x:v>easy</x:v>
      </x:c>
      <x:c r="E34" s="6" t="str">
        <x:v>Which named sedimentary basins are classified as a 'Superbasin', and on which craton do they sit?</x:v>
      </x:c>
      <x:c r="F34" s="6" t="n">
        <x:v>1</x:v>
      </x:c>
      <x:c r="G34" s="6" t="str">
        <x:v>NS1-018.csv</x:v>
      </x:c>
      <x:c r="H34" s="6" t="str">
        <x:v>NS1-018.csv</x:v>
      </x:c>
      <x:c r="I34" s="6" t="n">
        <x:v>1</x:v>
      </x:c>
      <x:c r="J34" s="6" t="n">
        <x:v>1</x:v>
      </x:c>
      <x:c r="K34" s="7" t="b">
        <x:v>1</x:v>
      </x:c>
      <x:c r="L34" s="7" t="b">
        <x:v>1</x:v>
      </x:c>
      <x:c r="M34" s="7" t="b">
        <x:v>1</x:v>
      </x:c>
      <x:c r="N34" s="6" t="n">
        <x:v>0</x:v>
      </x:c>
      <x:c r="O34" s="6" t="n">
        <x:v>0</x:v>
      </x:c>
      <x:c r="P34" s="6" t="n">
        <x:v>0</x:v>
      </x:c>
      <x:c r="Q34" s="6" t="str">
        <x:v>{}</x:v>
      </x:c>
      <x:c r="R34" s="6" t="n">
        <x:v>0</x:v>
      </x:c>
      <x:c r="S34" s="6" t="str">
        <x:v>Pass</x:v>
      </x:c>
      <x:c r="T34" s="6" t="str">
        <x:v>Pass</x:v>
      </x:c>
      <x:c r="U34" s="6" t="str">
        <x:v>Pass</x:v>
      </x:c>
      <x:c r="V34" s="6" t="str">
        <x:v>Pass</x:v>
      </x:c>
      <x:c r="W34" s="6" t="str">
        <x:v>Pass</x:v>
      </x:c>
      <x:c r="X34" s="6" t="str">
        <x:v>Pass</x:v>
      </x:c>
      <x:c r="Y34" s="7" t="b">
        <x:v>0</x:v>
      </x:c>
      <x:c r="Z34" s="6" t="str">
        <x:v>Independent execution reproduced all 1 supplied rows, columns and values (comparison ignores row order and tolerates six-decimal floating-point representation differences). No returned sentinel values were found.</x:v>
      </x:c>
    </x:row>
    <x:row r="35" ht="90" customHeight="1">
      <x:c r="A35" s="6" t="str">
        <x:v>NS1-027</x:v>
      </x:c>
      <x:c r="B35" s="6" t="str">
        <x:v>NS</x:v>
      </x:c>
      <x:c r="C35" s="6" t="str">
        <x:v>sql</x:v>
      </x:c>
      <x:c r="D35" s="6" t="str">
        <x:v>easy</x:v>
      </x:c>
      <x:c r="E35" s="6" t="str">
        <x:v>Interrogate the WACHEM reference suite for specimens whose silica content exceeds 70 weight percent; return the specimen identifier, lithological designation and the SiO2 figure.</x:v>
      </x:c>
      <x:c r="F35" s="6" t="n">
        <x:v>17887</x:v>
      </x:c>
      <x:c r="G35" s="6" t="str">
        <x:v>NS1-027.csv</x:v>
      </x:c>
      <x:c r="H35" s="6" t="str">
        <x:v>NS1-027.csv</x:v>
      </x:c>
      <x:c r="I35" s="6" t="n">
        <x:v>17887</x:v>
      </x:c>
      <x:c r="J35" s="6" t="n">
        <x:v>17887</x:v>
      </x:c>
      <x:c r="K35" s="7" t="b">
        <x:v>1</x:v>
      </x:c>
      <x:c r="L35" s="7" t="b">
        <x:v>1</x:v>
      </x:c>
      <x:c r="M35" s="7" t="b">
        <x:v>1</x:v>
      </x:c>
      <x:c r="N35" s="6" t="n">
        <x:v>67</x:v>
      </x:c>
      <x:c r="O35" s="6" t="n">
        <x:v>0</x:v>
      </x:c>
      <x:c r="P35" s="6" t="n">
        <x:v>0</x:v>
      </x:c>
      <x:c r="Q35" s="6" t="str">
        <x:v>{}</x:v>
      </x:c>
      <x:c r="R35" s="6" t="n">
        <x:v>0</x:v>
      </x:c>
      <x:c r="S35" s="6" t="str">
        <x:v>Pass</x:v>
      </x:c>
      <x:c r="T35" s="6" t="str">
        <x:v>Fail</x:v>
      </x:c>
      <x:c r="U35" s="6" t="str">
        <x:v>Fail</x:v>
      </x:c>
      <x:c r="V35" s="6" t="str">
        <x:v>Pass</x:v>
      </x:c>
      <x:c r="W35" s="6" t="str">
        <x:v>Pass</x:v>
      </x:c>
      <x:c r="X35" s="6" t="str">
        <x:v>Fail</x:v>
      </x:c>
      <x:c r="Y35" s="7" t="b">
        <x:v>0</x:v>
      </x:c>
      <x:c r="Z35" s="6" t="str">
        <x:v>Fail: the supplied and independently reproduced outputs agree, but the returned specimen list contains 67 exact duplicate rows. Use SELECT DISTINCT (or establish a documented assay-level key) to return each specimen/value combination once.</x:v>
      </x:c>
    </x:row>
    <x:row r="36" ht="90" customHeight="1">
      <x:c r="A36" s="6" t="str">
        <x:v>NS1-028</x:v>
      </x:c>
      <x:c r="B36" s="6" t="str">
        <x:v>NS</x:v>
      </x:c>
      <x:c r="C36" s="6" t="str">
        <x:v>sql</x:v>
      </x:c>
      <x:c r="D36" s="6" t="str">
        <x:v>medium</x:v>
      </x:c>
      <x:c r="E36" s="6" t="str">
        <x:v>How many surface samples have a gold value?</x:v>
      </x:c>
      <x:c r="F36" s="6" t="n">
        <x:v>1</x:v>
      </x:c>
      <x:c r="G36" s="6" t="str">
        <x:v>NS1-028.csv</x:v>
      </x:c>
      <x:c r="H36" s="6" t="str">
        <x:v>NS1-028.csv</x:v>
      </x:c>
      <x:c r="I36" s="6" t="n">
        <x:v>1</x:v>
      </x:c>
      <x:c r="J36" s="6" t="n">
        <x:v>1</x:v>
      </x:c>
      <x:c r="K36" s="7" t="b">
        <x:v>1</x:v>
      </x:c>
      <x:c r="L36" s="7" t="b">
        <x:v>1</x:v>
      </x:c>
      <x:c r="M36" s="7" t="b">
        <x:v>1</x:v>
      </x:c>
      <x:c r="N36" s="6" t="n">
        <x:v>0</x:v>
      </x:c>
      <x:c r="O36" s="6" t="n">
        <x:v>0</x:v>
      </x:c>
      <x:c r="P36" s="6" t="n">
        <x:v>0</x:v>
      </x:c>
      <x:c r="Q36" s="6" t="str">
        <x:v>{}</x:v>
      </x:c>
      <x:c r="R36" s="6" t="n">
        <x:v>0</x:v>
      </x:c>
      <x:c r="S36" s="6" t="str">
        <x:v>Pass</x:v>
      </x:c>
      <x:c r="T36" s="6" t="str">
        <x:v>Pass</x:v>
      </x:c>
      <x:c r="U36" s="6" t="str">
        <x:v>Pass</x:v>
      </x:c>
      <x:c r="V36" s="6" t="str">
        <x:v>Pass</x:v>
      </x:c>
      <x:c r="W36" s="6" t="str">
        <x:v>Pass</x:v>
      </x:c>
      <x:c r="X36" s="6" t="str">
        <x:v>Pass</x:v>
      </x:c>
      <x:c r="Y36" s="7" t="b">
        <x:v>0</x:v>
      </x:c>
      <x:c r="Z36" s="6" t="str">
        <x:v>Independent execution reproduced all 1 supplied rows, columns and values (comparison ignores row order and tolerates six-decimal floating-point representation differences). No returned sentinel values were found.</x:v>
      </x:c>
    </x:row>
    <x:row r="37" ht="90" customHeight="1">
      <x:c r="A37" s="6" t="str">
        <x:v>NS1-030</x:v>
      </x:c>
      <x:c r="B37" s="6" t="str">
        <x:v>NS</x:v>
      </x:c>
      <x:c r="C37" s="6" t="str">
        <x:v>refusal</x:v>
      </x:c>
      <x:c r="D37" s="6" t="str">
        <x:v>hard</x:v>
      </x:c>
      <x:c r="E37" s="6" t="str">
        <x:v>What is the analytical detection limit for gold in the surface geochemistry dataset?</x:v>
      </x:c>
      <x:c r="F37" s="6" t="str"/>
      <x:c r="G37" s="6" t="str">
        <x:v>NS1-030.txt</x:v>
      </x:c>
      <x:c r="H37" s="6" t="str"/>
      <x:c r="I37" s="6" t="str"/>
      <x:c r="J37" s="6" t="str"/>
      <x:c r="K37" s="6" t="str"/>
      <x:c r="L37" s="6" t="str"/>
      <x:c r="M37" s="6" t="str">
        <x:v>Expected refusal</x:v>
      </x:c>
      <x:c r="N37" s="6" t="str"/>
      <x:c r="O37" s="6" t="str"/>
      <x:c r="P37" s="6" t="str"/>
      <x:c r="Q37" s="6" t="str">
        <x:v>{}</x:v>
      </x:c>
      <x:c r="R37" s="6" t="n">
        <x:v>0</x:v>
      </x:c>
      <x:c r="S37" s="6" t="str">
        <x:v>Not assessed</x:v>
      </x:c>
      <x:c r="T37" s="6" t="str">
        <x:v>Pass</x:v>
      </x:c>
      <x:c r="U37" s="6" t="str">
        <x:v>Pass</x:v>
      </x:c>
      <x:c r="V37" s="6" t="str">
        <x:v>Not assessed</x:v>
      </x:c>
      <x:c r="W37" s="6" t="str">
        <x:v>Not assessed</x:v>
      </x:c>
      <x:c r="X37" s="6" t="str">
        <x:v>Pass</x:v>
      </x:c>
      <x:c r="Y37" s="7" t="b">
        <x:v>0</x:v>
      </x:c>
      <x:c r="Z37" s="6" t="str">
        <x:v>Pass: this question is not answerable from the delivered schema because surface_assay contains no analytical method or detection-limit field. The supplied response correctly refuses to infer a detection limit from the minimum positive assay value or the -9999 sentinel family.</x:v>
      </x:c>
    </x:row>
    <x:row r="38" ht="90" customHeight="1">
      <x:c r="A38" s="6" t="str">
        <x:v>NS1-035</x:v>
      </x:c>
      <x:c r="B38" s="6" t="str">
        <x:v>NS</x:v>
      </x:c>
      <x:c r="C38" s="6" t="str">
        <x:v>geopandas</x:v>
      </x:c>
      <x:c r="D38" s="6" t="str">
        <x:v>easy</x:v>
      </x:c>
      <x:c r="E38" s="6" t="str">
        <x:v>Where are the rock chip samples? Give their count and geographic extent per map sheet, for the ten sheets with the most.</x:v>
      </x:c>
      <x:c r="F38" s="6" t="n">
        <x:v>10</x:v>
      </x:c>
      <x:c r="G38" s="6" t="str">
        <x:v>NS1-035.csv</x:v>
      </x:c>
      <x:c r="H38" s="6" t="str">
        <x:v>NS1-035.csv</x:v>
      </x:c>
      <x:c r="I38" s="6" t="n">
        <x:v>10</x:v>
      </x:c>
      <x:c r="J38" s="6" t="n">
        <x:v>10</x:v>
      </x:c>
      <x:c r="K38" s="7" t="b">
        <x:v>1</x:v>
      </x:c>
      <x:c r="L38" s="7" t="b">
        <x:v>1</x:v>
      </x:c>
      <x:c r="M38" s="7" t="b">
        <x:v>1</x:v>
      </x:c>
      <x:c r="N38" s="6" t="n">
        <x:v>0</x:v>
      </x:c>
      <x:c r="O38" s="6" t="n">
        <x:v>0</x:v>
      </x:c>
      <x:c r="P38" s="6" t="n">
        <x:v>0</x:v>
      </x:c>
      <x:c r="Q38" s="6" t="str">
        <x:v>{}</x:v>
      </x:c>
      <x:c r="R38" s="6" t="n">
        <x:v>0</x:v>
      </x:c>
      <x:c r="S38" s="6" t="str">
        <x:v>Pass</x:v>
      </x:c>
      <x:c r="T38" s="6" t="str">
        <x:v>Pass</x:v>
      </x:c>
      <x:c r="U38" s="6" t="str">
        <x:v>Pass</x:v>
      </x:c>
      <x:c r="V38" s="6" t="str">
        <x:v>Pass</x:v>
      </x:c>
      <x:c r="W38" s="6" t="str">
        <x:v>Pass</x:v>
      </x:c>
      <x:c r="X38" s="6" t="str">
        <x:v>Pass</x:v>
      </x:c>
      <x:c r="Y38" s="7" t="b">
        <x:v>0</x:v>
      </x:c>
      <x:c r="Z38" s="6" t="str">
        <x:v>Independent execution reproduced all 10 supplied rows, columns and values (comparison ignores row order and tolerates six-decimal floating-point representation differences). No returned sentinel values were found.</x:v>
      </x:c>
    </x:row>
    <x:row r="39" ht="90" customHeight="1">
      <x:c r="A39" s="6" t="str">
        <x:v>NS1-036</x:v>
      </x:c>
      <x:c r="B39" s="6" t="str">
        <x:v>NS</x:v>
      </x:c>
      <x:c r="C39" s="6" t="str">
        <x:v>python</x:v>
      </x:c>
      <x:c r="D39" s="6" t="str">
        <x:v>medium</x:v>
      </x:c>
      <x:c r="E39" s="6" t="str">
        <x:v>What is the highest gold value in the surface data?</x:v>
      </x:c>
      <x:c r="F39" s="6" t="n">
        <x:v>1</x:v>
      </x:c>
      <x:c r="G39" s="6" t="str">
        <x:v>NS1-036.csv</x:v>
      </x:c>
      <x:c r="H39" s="6" t="str">
        <x:v>NS1-036.csv</x:v>
      </x:c>
      <x:c r="I39" s="6" t="n">
        <x:v>1</x:v>
      </x:c>
      <x:c r="J39" s="6" t="n">
        <x:v>1</x:v>
      </x:c>
      <x:c r="K39" s="7" t="b">
        <x:v>1</x:v>
      </x:c>
      <x:c r="L39" s="7" t="b">
        <x:v>1</x:v>
      </x:c>
      <x:c r="M39" s="7" t="b">
        <x:v>0</x:v>
      </x:c>
      <x:c r="N39" s="6" t="n">
        <x:v>0</x:v>
      </x:c>
      <x:c r="O39" s="6" t="n">
        <x:v>0</x:v>
      </x:c>
      <x:c r="P39" s="6" t="n">
        <x:v>0</x:v>
      </x:c>
      <x:c r="Q39" s="6" t="str">
        <x:v>{}</x:v>
      </x:c>
      <x:c r="R39" s="6" t="n">
        <x:v>0</x:v>
      </x:c>
      <x:c r="S39" s="6" t="str">
        <x:v>Pass</x:v>
      </x:c>
      <x:c r="T39" s="6" t="str">
        <x:v>Pass</x:v>
      </x:c>
      <x:c r="U39" s="6" t="str">
        <x:v>Pass</x:v>
      </x:c>
      <x:c r="V39" s="6" t="str">
        <x:v>Pass</x:v>
      </x:c>
      <x:c r="W39" s="6" t="str">
        <x:v>Pass</x:v>
      </x:c>
      <x:c r="X39" s="6" t="str">
        <x:v>Pass</x:v>
      </x:c>
      <x:c r="Y39" s="7" t="b">
        <x:v>0</x:v>
      </x:c>
      <x:c r="Z39" s="6" t="str">
        <x:v>Pass with note: all values answering the question match, including the naive maximum (760,000 ppm), 3,431 values at or above 100 ppm, and the plausible maximum (100 ppm). Only worst_report differs because two reports tie at 397 samples with a 2,000 ppm median and the code has no deterministic tie-breaker.</x:v>
      </x:c>
    </x:row>
    <x:row r="40" ht="90" customHeight="1">
      <x:c r="A40" s="6" t="str">
        <x:v>NS1-038</x:v>
      </x:c>
      <x:c r="B40" s="6" t="str">
        <x:v>NS</x:v>
      </x:c>
      <x:c r="C40" s="6" t="str">
        <x:v>sql</x:v>
      </x:c>
      <x:c r="D40" s="6" t="str">
        <x:v>easy</x:v>
      </x:c>
      <x:c r="E40" s="6" t="str">
        <x:v>How many field observations are recorded, and what rock names appear most often?</x:v>
      </x:c>
      <x:c r="F40" s="6" t="n">
        <x:v>15</x:v>
      </x:c>
      <x:c r="G40" s="6" t="str">
        <x:v>NS1-038.csv</x:v>
      </x:c>
      <x:c r="H40" s="6" t="str">
        <x:v>NS1-038.csv</x:v>
      </x:c>
      <x:c r="I40" s="6" t="n">
        <x:v>15</x:v>
      </x:c>
      <x:c r="J40" s="6" t="n">
        <x:v>15</x:v>
      </x:c>
      <x:c r="K40" s="7" t="b">
        <x:v>1</x:v>
      </x:c>
      <x:c r="L40" s="7" t="b">
        <x:v>1</x:v>
      </x:c>
      <x:c r="M40" s="7" t="b">
        <x:v>1</x:v>
      </x:c>
      <x:c r="N40" s="6" t="n">
        <x:v>0</x:v>
      </x:c>
      <x:c r="O40" s="6" t="n">
        <x:v>0</x:v>
      </x:c>
      <x:c r="P40" s="6" t="n">
        <x:v>0</x:v>
      </x:c>
      <x:c r="Q40" s="6" t="str">
        <x:v>{}</x:v>
      </x:c>
      <x:c r="R40" s="6" t="n">
        <x:v>0</x:v>
      </x:c>
      <x:c r="S40" s="6" t="str">
        <x:v>Pass</x:v>
      </x:c>
      <x:c r="T40" s="6" t="str">
        <x:v>Pass</x:v>
      </x:c>
      <x:c r="U40" s="6" t="str">
        <x:v>Pass</x:v>
      </x:c>
      <x:c r="V40" s="6" t="str">
        <x:v>Pass</x:v>
      </x:c>
      <x:c r="W40" s="6" t="str">
        <x:v>Pass</x:v>
      </x:c>
      <x:c r="X40" s="6" t="str">
        <x:v>Pass</x:v>
      </x:c>
      <x:c r="Y40" s="7" t="b">
        <x:v>0</x:v>
      </x:c>
      <x:c r="Z40" s="6" t="str">
        <x:v>Independent execution reproduced all 15 supplied rows, columns and values (comparison ignores row order and tolerates six-decimal floating-point representation differences). No returned sentinel values were found.</x:v>
      </x:c>
    </x:row>
    <x:row r="41" ht="90" customHeight="1">
      <x:c r="A41" s="6" t="str">
        <x:v>NS1-050</x:v>
      </x:c>
      <x:c r="B41" s="6" t="str">
        <x:v>NS</x:v>
      </x:c>
      <x:c r="C41" s="6" t="str">
        <x:v>sql</x:v>
      </x:c>
      <x:c r="D41" s="6" t="str">
        <x:v>easy</x:v>
      </x:c>
      <x:c r="E41" s="6" t="str">
        <x:v>Which sample types are recorded in the WA geochemistry table?</x:v>
      </x:c>
      <x:c r="F41" s="6" t="n">
        <x:v>9</x:v>
      </x:c>
      <x:c r="G41" s="6" t="str">
        <x:v>NS1-050.csv</x:v>
      </x:c>
      <x:c r="H41" s="6" t="str">
        <x:v>NS1-050.csv</x:v>
      </x:c>
      <x:c r="I41" s="6" t="n">
        <x:v>9</x:v>
      </x:c>
      <x:c r="J41" s="6" t="n">
        <x:v>9</x:v>
      </x:c>
      <x:c r="K41" s="7" t="b">
        <x:v>1</x:v>
      </x:c>
      <x:c r="L41" s="7" t="b">
        <x:v>1</x:v>
      </x:c>
      <x:c r="M41" s="7" t="b">
        <x:v>1</x:v>
      </x:c>
      <x:c r="N41" s="6" t="n">
        <x:v>0</x:v>
      </x:c>
      <x:c r="O41" s="6" t="n">
        <x:v>0</x:v>
      </x:c>
      <x:c r="P41" s="6" t="n">
        <x:v>0</x:v>
      </x:c>
      <x:c r="Q41" s="6" t="str">
        <x:v>{}</x:v>
      </x:c>
      <x:c r="R41" s="6" t="n">
        <x:v>0</x:v>
      </x:c>
      <x:c r="S41" s="6" t="str">
        <x:v>Pass</x:v>
      </x:c>
      <x:c r="T41" s="6" t="str">
        <x:v>Pass</x:v>
      </x:c>
      <x:c r="U41" s="6" t="str">
        <x:v>Pass</x:v>
      </x:c>
      <x:c r="V41" s="6" t="str">
        <x:v>Pass</x:v>
      </x:c>
      <x:c r="W41" s="6" t="str">
        <x:v>Pass</x:v>
      </x:c>
      <x:c r="X41" s="6" t="str">
        <x:v>Pass</x:v>
      </x:c>
      <x:c r="Y41" s="7" t="b">
        <x:v>0</x:v>
      </x:c>
      <x:c r="Z41" s="6" t="str">
        <x:v>Independent execution reproduced all 9 supplied rows, columns and values (comparison ignores row order and tolerates six-decimal floating-point representation differences). No returned sentinel values were found.</x:v>
      </x:c>
    </x:row>
    <x:row r="42" ht="90" customHeight="1">
      <x:c r="A42" s="6" t="str">
        <x:v>NS2-019</x:v>
      </x:c>
      <x:c r="B42" s="6" t="str">
        <x:v>NS</x:v>
      </x:c>
      <x:c r="C42" s="6" t="str">
        <x:v>sql</x:v>
      </x:c>
      <x:c r="D42" s="6" t="str">
        <x:v>hard</x:v>
      </x:c>
      <x:c r="E42" s="6" t="str">
        <x:v>How many 1:250k map sheets were released in each decade?</x:v>
      </x:c>
      <x:c r="F42" s="6" t="n">
        <x:v>6</x:v>
      </x:c>
      <x:c r="G42" s="6" t="str">
        <x:v>NS2-019.csv</x:v>
      </x:c>
      <x:c r="H42" s="6" t="str">
        <x:v>NS2-019.csv</x:v>
      </x:c>
      <x:c r="I42" s="6" t="n">
        <x:v>6</x:v>
      </x:c>
      <x:c r="J42" s="6" t="n">
        <x:v>6</x:v>
      </x:c>
      <x:c r="K42" s="7" t="b">
        <x:v>1</x:v>
      </x:c>
      <x:c r="L42" s="7" t="b">
        <x:v>1</x:v>
      </x:c>
      <x:c r="M42" s="7" t="b">
        <x:v>1</x:v>
      </x:c>
      <x:c r="N42" s="6" t="n">
        <x:v>0</x:v>
      </x:c>
      <x:c r="O42" s="6" t="n">
        <x:v>0</x:v>
      </x:c>
      <x:c r="P42" s="6" t="n">
        <x:v>0</x:v>
      </x:c>
      <x:c r="Q42" s="6" t="str">
        <x:v>{}</x:v>
      </x:c>
      <x:c r="R42" s="6" t="n">
        <x:v>0</x:v>
      </x:c>
      <x:c r="S42" s="6" t="str">
        <x:v>Pass</x:v>
      </x:c>
      <x:c r="T42" s="6" t="str">
        <x:v>Pass</x:v>
      </x:c>
      <x:c r="U42" s="6" t="str">
        <x:v>Pass</x:v>
      </x:c>
      <x:c r="V42" s="6" t="str">
        <x:v>Pass</x:v>
      </x:c>
      <x:c r="W42" s="6" t="str">
        <x:v>Pass</x:v>
      </x:c>
      <x:c r="X42" s="6" t="str">
        <x:v>Pass</x:v>
      </x:c>
      <x:c r="Y42" s="7" t="b">
        <x:v>0</x:v>
      </x:c>
      <x:c r="Z42" s="6" t="str">
        <x:v>Independent execution reproduced all 6 supplied rows, columns and values (comparison ignores row order and tolerates six-decimal floating-point representation differences). No returned sentinel values were found.</x:v>
      </x:c>
    </x:row>
    <x:row r="43" ht="90" customHeight="1">
      <x:c r="A43" s="6" t="str">
        <x:v>NS2-020</x:v>
      </x:c>
      <x:c r="B43" s="6" t="str">
        <x:v>NS</x:v>
      </x:c>
      <x:c r="C43" s="6" t="str">
        <x:v>sql</x:v>
      </x:c>
      <x:c r="D43" s="6" t="str">
        <x:v>medium</x:v>
      </x:c>
      <x:c r="E43" s="6" t="str">
        <x:v>Which 10 named basins cover the most mapped polygons, and how many distinct basin types does each span?</x:v>
      </x:c>
      <x:c r="F43" s="6" t="n">
        <x:v>10</x:v>
      </x:c>
      <x:c r="G43" s="6" t="str">
        <x:v>NS2-020.csv</x:v>
      </x:c>
      <x:c r="H43" s="6" t="str">
        <x:v>NS2-020.csv</x:v>
      </x:c>
      <x:c r="I43" s="6" t="n">
        <x:v>10</x:v>
      </x:c>
      <x:c r="J43" s="6" t="n">
        <x:v>10</x:v>
      </x:c>
      <x:c r="K43" s="7" t="b">
        <x:v>1</x:v>
      </x:c>
      <x:c r="L43" s="7" t="b">
        <x:v>1</x:v>
      </x:c>
      <x:c r="M43" s="7" t="b">
        <x:v>1</x:v>
      </x:c>
      <x:c r="N43" s="6" t="n">
        <x:v>0</x:v>
      </x:c>
      <x:c r="O43" s="6" t="n">
        <x:v>0</x:v>
      </x:c>
      <x:c r="P43" s="6" t="n">
        <x:v>0</x:v>
      </x:c>
      <x:c r="Q43" s="6" t="str">
        <x:v>{}</x:v>
      </x:c>
      <x:c r="R43" s="6" t="n">
        <x:v>0</x:v>
      </x:c>
      <x:c r="S43" s="6" t="str">
        <x:v>Pass</x:v>
      </x:c>
      <x:c r="T43" s="6" t="str">
        <x:v>Pass</x:v>
      </x:c>
      <x:c r="U43" s="6" t="str">
        <x:v>Pass</x:v>
      </x:c>
      <x:c r="V43" s="6" t="str">
        <x:v>Pass</x:v>
      </x:c>
      <x:c r="W43" s="6" t="str">
        <x:v>Pass</x:v>
      </x:c>
      <x:c r="X43" s="6" t="str">
        <x:v>Pass</x:v>
      </x:c>
      <x:c r="Y43" s="7" t="b">
        <x:v>0</x:v>
      </x:c>
      <x:c r="Z43" s="6" t="str">
        <x:v>Independent execution reproduced all 10 supplied rows, columns and values (comparison ignores row order and tolerates six-decimal floating-point representation differences). No returned sentinel values were found.</x:v>
      </x:c>
    </x:row>
    <x:row r="44" ht="90" customHeight="1">
      <x:c r="A44" s="6" t="str">
        <x:v>NS2-026</x:v>
      </x:c>
      <x:c r="B44" s="6" t="str">
        <x:v>NS</x:v>
      </x:c>
      <x:c r="C44" s="6" t="str">
        <x:v>sql</x:v>
      </x:c>
      <x:c r="D44" s="6" t="str">
        <x:v>hard</x:v>
      </x:c>
      <x:c r="E44" s="6" t="str">
        <x:v>For groundwater sampling, report per year the number of analyses, the cumulative total, and each year's share of all dated analyses.</x:v>
      </x:c>
      <x:c r="F44" s="6" t="n">
        <x:v>5</x:v>
      </x:c>
      <x:c r="G44" s="6" t="str">
        <x:v>NS2-026.csv</x:v>
      </x:c>
      <x:c r="H44" s="6" t="str">
        <x:v>NS2-026.csv</x:v>
      </x:c>
      <x:c r="I44" s="6" t="n">
        <x:v>5</x:v>
      </x:c>
      <x:c r="J44" s="6" t="n">
        <x:v>5</x:v>
      </x:c>
      <x:c r="K44" s="7" t="b">
        <x:v>1</x:v>
      </x:c>
      <x:c r="L44" s="7" t="b">
        <x:v>1</x:v>
      </x:c>
      <x:c r="M44" s="7" t="b">
        <x:v>1</x:v>
      </x:c>
      <x:c r="N44" s="6" t="n">
        <x:v>0</x:v>
      </x:c>
      <x:c r="O44" s="6" t="n">
        <x:v>1</x:v>
      </x:c>
      <x:c r="P44" s="6" t="n">
        <x:v>2</x:v>
      </x:c>
      <x:c r="Q44" s="6" t="str">
        <x:v>{"yoy_change": 2}</x:v>
      </x:c>
      <x:c r="R44" s="6" t="n">
        <x:v>0</x:v>
      </x:c>
      <x:c r="S44" s="6" t="str">
        <x:v>Pass</x:v>
      </x:c>
      <x:c r="T44" s="6" t="str">
        <x:v>Pass</x:v>
      </x:c>
      <x:c r="U44" s="6" t="str">
        <x:v>Pass</x:v>
      </x:c>
      <x:c r="V44" s="6" t="str">
        <x:v>Pass</x:v>
      </x:c>
      <x:c r="W44" s="6" t="str">
        <x:v>Pass</x:v>
      </x:c>
      <x:c r="X44" s="6" t="str">
        <x:v>Pass</x:v>
      </x:c>
      <x:c r="Y44" s="7" t="b">
        <x:v>0</x:v>
      </x:c>
      <x:c r="Z44" s="6" t="str">
        <x:v>Independent execution reproduced all 5 supplied rows, columns and values (comparison ignores row order and tolerates six-decimal floating-point representation differences). No returned sentinel values were found.</x:v>
      </x:c>
    </x:row>
    <x:row r="45" ht="90" customHeight="1">
      <x:c r="A45" s="6" t="str">
        <x:v>NS2-028</x:v>
      </x:c>
      <x:c r="B45" s="6" t="str">
        <x:v>NS</x:v>
      </x:c>
      <x:c r="C45" s="6" t="str">
        <x:v>sql</x:v>
      </x:c>
      <x:c r="D45" s="6" t="str">
        <x:v>hard</x:v>
      </x:c>
      <x:c r="E45" s="6" t="str">
        <x:v>Report sample counts by sampling medium using the human-readable medium names from the lookup table rather than the raw codes stored on the samples.</x:v>
      </x:c>
      <x:c r="F45" s="6" t="n">
        <x:v>4</x:v>
      </x:c>
      <x:c r="G45" s="6" t="str">
        <x:v>NS2-028.csv</x:v>
      </x:c>
      <x:c r="H45" s="6" t="str">
        <x:v>NS2-028.csv</x:v>
      </x:c>
      <x:c r="I45" s="6" t="n">
        <x:v>4</x:v>
      </x:c>
      <x:c r="J45" s="6" t="n">
        <x:v>4</x:v>
      </x:c>
      <x:c r="K45" s="7" t="b">
        <x:v>1</x:v>
      </x:c>
      <x:c r="L45" s="7" t="b">
        <x:v>1</x:v>
      </x:c>
      <x:c r="M45" s="7" t="b">
        <x:v>1</x:v>
      </x:c>
      <x:c r="N45" s="6" t="n">
        <x:v>0</x:v>
      </x:c>
      <x:c r="O45" s="6" t="n">
        <x:v>0</x:v>
      </x:c>
      <x:c r="P45" s="6" t="n">
        <x:v>0</x:v>
      </x:c>
      <x:c r="Q45" s="6" t="str">
        <x:v>{}</x:v>
      </x:c>
      <x:c r="R45" s="6" t="n">
        <x:v>0</x:v>
      </x:c>
      <x:c r="S45" s="6" t="str">
        <x:v>Pass</x:v>
      </x:c>
      <x:c r="T45" s="6" t="str">
        <x:v>Pass</x:v>
      </x:c>
      <x:c r="U45" s="6" t="str">
        <x:v>Pass</x:v>
      </x:c>
      <x:c r="V45" s="6" t="str">
        <x:v>Pass</x:v>
      </x:c>
      <x:c r="W45" s="6" t="str">
        <x:v>Pass</x:v>
      </x:c>
      <x:c r="X45" s="6" t="str">
        <x:v>Pass</x:v>
      </x:c>
      <x:c r="Y45" s="7" t="b">
        <x:v>0</x:v>
      </x:c>
      <x:c r="Z45" s="6" t="str">
        <x:v>Independent execution reproduced all 4 supplied rows, columns and values (comparison ignores row order and tolerates six-decimal floating-point representation differences). No returned sentinel values were found.</x:v>
      </x:c>
    </x:row>
    <x:row r="46" ht="90" customHeight="1">
      <x:c r="A46" s="6" t="str">
        <x:v>NS2-031</x:v>
      </x:c>
      <x:c r="B46" s="6" t="str">
        <x:v>NS</x:v>
      </x:c>
      <x:c r="C46" s="6" t="str">
        <x:v>sql</x:v>
      </x:c>
      <x:c r="D46" s="6" t="str">
        <x:v>medium</x:v>
      </x:c>
      <x:c r="E46" s="6" t="str">
        <x:v>Which surface samples contain more than 50 percent manganese by weight? Report them by medium and say whether the values are credible.</x:v>
      </x:c>
      <x:c r="F46" s="6" t="n">
        <x:v>4</x:v>
      </x:c>
      <x:c r="G46" s="6" t="str">
        <x:v>NS2-031.csv</x:v>
      </x:c>
      <x:c r="H46" s="6" t="str">
        <x:v>NS2-031.csv</x:v>
      </x:c>
      <x:c r="I46" s="6" t="n">
        <x:v>4</x:v>
      </x:c>
      <x:c r="J46" s="6" t="n">
        <x:v>4</x:v>
      </x:c>
      <x:c r="K46" s="7" t="b">
        <x:v>1</x:v>
      </x:c>
      <x:c r="L46" s="7" t="b">
        <x:v>1</x:v>
      </x:c>
      <x:c r="M46" s="7" t="b">
        <x:v>1</x:v>
      </x:c>
      <x:c r="N46" s="6" t="n">
        <x:v>0</x:v>
      </x:c>
      <x:c r="O46" s="6" t="n">
        <x:v>0</x:v>
      </x:c>
      <x:c r="P46" s="6" t="n">
        <x:v>0</x:v>
      </x:c>
      <x:c r="Q46" s="6" t="str">
        <x:v>{}</x:v>
      </x:c>
      <x:c r="R46" s="6" t="n">
        <x:v>0</x:v>
      </x:c>
      <x:c r="S46" s="6" t="str">
        <x:v>Pass</x:v>
      </x:c>
      <x:c r="T46" s="6" t="str">
        <x:v>Pass</x:v>
      </x:c>
      <x:c r="U46" s="6" t="str">
        <x:v>Pass</x:v>
      </x:c>
      <x:c r="V46" s="6" t="str">
        <x:v>Pass</x:v>
      </x:c>
      <x:c r="W46" s="6" t="str">
        <x:v>Pass</x:v>
      </x:c>
      <x:c r="X46" s="6" t="str">
        <x:v>Pass</x:v>
      </x:c>
      <x:c r="Y46" s="7" t="b">
        <x:v>0</x:v>
      </x:c>
      <x:c r="Z46" s="6" t="str">
        <x:v>Independent execution reproduced all 4 supplied rows, columns and values (comparison ignores row order and tolerates six-decimal floating-point representation differences). No returned sentinel values were found.</x:v>
      </x:c>
    </x:row>
    <x:row r="47" ht="90" customHeight="1">
      <x:c r="A47" s="6" t="str">
        <x:v>NS2-044</x:v>
      </x:c>
      <x:c r="B47" s="6" t="str">
        <x:v>NS</x:v>
      </x:c>
      <x:c r="C47" s="6" t="str">
        <x:v>sql</x:v>
      </x:c>
      <x:c r="D47" s="6" t="str">
        <x:v>medium</x:v>
      </x:c>
      <x:c r="E47" s="6" t="str">
        <x:v>What is the average copper content of surface samples in the Kalgoorlie box?</x:v>
      </x:c>
      <x:c r="F47" s="6" t="n">
        <x:v>3</x:v>
      </x:c>
      <x:c r="G47" s="6" t="str">
        <x:v>NS2-044.csv</x:v>
      </x:c>
      <x:c r="H47" s="6" t="str">
        <x:v>NS2-044.csv</x:v>
      </x:c>
      <x:c r="I47" s="6" t="n">
        <x:v>3</x:v>
      </x:c>
      <x:c r="J47" s="6" t="n">
        <x:v>3</x:v>
      </x:c>
      <x:c r="K47" s="7" t="b">
        <x:v>1</x:v>
      </x:c>
      <x:c r="L47" s="7" t="b">
        <x:v>1</x:v>
      </x:c>
      <x:c r="M47" s="7" t="b">
        <x:v>1</x:v>
      </x:c>
      <x:c r="N47" s="6" t="n">
        <x:v>0</x:v>
      </x:c>
      <x:c r="O47" s="6" t="n">
        <x:v>0</x:v>
      </x:c>
      <x:c r="P47" s="6" t="n">
        <x:v>1</x:v>
      </x:c>
      <x:c r="Q47" s="6" t="str">
        <x:v>{"mean_cu_ppm": 1}</x:v>
      </x:c>
      <x:c r="R47" s="6" t="n">
        <x:v>0</x:v>
      </x:c>
      <x:c r="S47" s="6" t="str">
        <x:v>Pass</x:v>
      </x:c>
      <x:c r="T47" s="6" t="str">
        <x:v>Pass</x:v>
      </x:c>
      <x:c r="U47" s="6" t="str">
        <x:v>Pass</x:v>
      </x:c>
      <x:c r="V47" s="6" t="str">
        <x:v>Pass</x:v>
      </x:c>
      <x:c r="W47" s="6" t="str">
        <x:v>Pass</x:v>
      </x:c>
      <x:c r="X47" s="6" t="str">
        <x:v>Pass</x:v>
      </x:c>
      <x:c r="Y47" s="7" t="b">
        <x:v>0</x:v>
      </x:c>
      <x:c r="Z47" s="6" t="str">
        <x:v>Pass with note: the three-row diagnostic is reproduced. The unfiltered mean (-4,514.0 ppm) is intentionally shown to demonstrate sentinel contamination; the positive-only mean is 95.4 ppm and the additional &lt;100,000 ppm plausibility filter gives 85.0 ppm. No raw sentinel is returned in the result table.</x:v>
      </x:c>
    </x:row>
    <x:row r="48" ht="90" customHeight="1">
      <x:c r="A48" s="6" t="str">
        <x:v>NS2-056</x:v>
      </x:c>
      <x:c r="B48" s="6" t="str">
        <x:v>NS</x:v>
      </x:c>
      <x:c r="C48" s="6" t="str">
        <x:v>viz</x:v>
      </x:c>
      <x:c r="D48" s="6" t="str">
        <x:v>hard</x:v>
      </x:c>
      <x:c r="E48" s="6" t="str">
        <x:v>Compare median gold across map sheets with an honest indication of how uncertain each estimate is.</x:v>
      </x:c>
      <x:c r="F48" s="6" t="n">
        <x:v>1</x:v>
      </x:c>
      <x:c r="G48" s="6" t="str">
        <x:v>NS2-056.png</x:v>
      </x:c>
      <x:c r="H48" s="6" t="str">
        <x:v>NS2-056.png</x:v>
      </x:c>
      <x:c r="I48" s="6" t="str"/>
      <x:c r="J48" s="6" t="str"/>
      <x:c r="K48" s="6" t="str"/>
      <x:c r="L48" s="6" t="str"/>
      <x:c r="M48" s="7" t="b">
        <x:v>1</x:v>
      </x:c>
      <x:c r="N48" s="6" t="str"/>
      <x:c r="O48" s="6" t="str"/>
      <x:c r="P48" s="6" t="str"/>
      <x:c r="Q48" s="6" t="str">
        <x:v>{}</x:v>
      </x:c>
      <x:c r="R48" s="6" t="n">
        <x:v>0</x:v>
      </x:c>
      <x:c r="S48" s="6" t="str">
        <x:v>Pass</x:v>
      </x:c>
      <x:c r="T48" s="6" t="str">
        <x:v>Pass</x:v>
      </x:c>
      <x:c r="U48" s="6" t="str">
        <x:v>Pass</x:v>
      </x:c>
      <x:c r="V48" s="6" t="str">
        <x:v>Pass</x:v>
      </x:c>
      <x:c r="W48" s="6" t="str">
        <x:v>Pass</x:v>
      </x:c>
      <x:c r="X48" s="6" t="str">
        <x:v>Pass</x:v>
      </x:c>
      <x:c r="Y48" s="7" t="b">
        <x:v>0</x:v>
      </x:c>
      <x:c r="Z48" s="6" t="str">
        <x:v>Independent execution reproduced the visual. Perceptual hash similarity is 97.3%; the different pixel dimensions are caused by the verification export DPI. No sentinel values are displayed in the plotted data.</x:v>
      </x:c>
    </x:row>
    <x:row r="49" ht="90" customHeight="1">
      <x:c r="A49" s="6" t="str">
        <x:v>NS3-016</x:v>
      </x:c>
      <x:c r="B49" s="6" t="str">
        <x:v>NS</x:v>
      </x:c>
      <x:c r="C49" s="6" t="str">
        <x:v>geopandas</x:v>
      </x:c>
      <x:c r="D49" s="6" t="str">
        <x:v>medium</x:v>
      </x:c>
      <x:c r="E49" s="6" t="str">
        <x:v>Which 1:250k map sheet does surface sample 1847141 fall on? Report the sheet name and number.</x:v>
      </x:c>
      <x:c r="F49" s="6" t="n">
        <x:v>1</x:v>
      </x:c>
      <x:c r="G49" s="6" t="str">
        <x:v>NS3-016.csv</x:v>
      </x:c>
      <x:c r="H49" s="6" t="str">
        <x:v>NS3-016.csv</x:v>
      </x:c>
      <x:c r="I49" s="6" t="n">
        <x:v>1</x:v>
      </x:c>
      <x:c r="J49" s="6" t="n">
        <x:v>1</x:v>
      </x:c>
      <x:c r="K49" s="7" t="b">
        <x:v>1</x:v>
      </x:c>
      <x:c r="L49" s="7" t="b">
        <x:v>1</x:v>
      </x:c>
      <x:c r="M49" s="7" t="b">
        <x:v>1</x:v>
      </x:c>
      <x:c r="N49" s="6" t="n">
        <x:v>0</x:v>
      </x:c>
      <x:c r="O49" s="6" t="n">
        <x:v>0</x:v>
      </x:c>
      <x:c r="P49" s="6" t="n">
        <x:v>0</x:v>
      </x:c>
      <x:c r="Q49" s="6" t="str">
        <x:v>{}</x:v>
      </x:c>
      <x:c r="R49" s="6" t="n">
        <x:v>0</x:v>
      </x:c>
      <x:c r="S49" s="6" t="str">
        <x:v>Pass</x:v>
      </x:c>
      <x:c r="T49" s="6" t="str">
        <x:v>Pass</x:v>
      </x:c>
      <x:c r="U49" s="6" t="str">
        <x:v>Pass</x:v>
      </x:c>
      <x:c r="V49" s="6" t="str">
        <x:v>Pass</x:v>
      </x:c>
      <x:c r="W49" s="6" t="str">
        <x:v>Pass</x:v>
      </x:c>
      <x:c r="X49" s="6" t="str">
        <x:v>Pass</x:v>
      </x:c>
      <x:c r="Y49" s="7" t="b">
        <x:v>0</x:v>
      </x:c>
      <x:c r="Z49" s="6" t="str">
        <x:v>Independent execution reproduced all 1 supplied rows, columns and values (comparison ignores row order and tolerates six-decimal floating-point representation differences). No returned sentinel values were found.</x:v>
      </x:c>
    </x:row>
    <x:row r="50" ht="90" customHeight="1">
      <x:c r="A50" s="6" t="str">
        <x:v>NS3-019</x:v>
      </x:c>
      <x:c r="B50" s="6" t="str">
        <x:v>NS</x:v>
      </x:c>
      <x:c r="C50" s="6" t="str">
        <x:v>geopandas</x:v>
      </x:c>
      <x:c r="D50" s="6" t="str">
        <x:v>hard</x:v>
      </x:c>
      <x:c r="E50" s="6" t="str">
        <x:v>Rank the townsites by how many surface samples lie within 25 km of each, and show the top 10 with their rank.</x:v>
      </x:c>
      <x:c r="F50" s="6" t="n">
        <x:v>10</x:v>
      </x:c>
      <x:c r="G50" s="6" t="str">
        <x:v>NS3-019.csv</x:v>
      </x:c>
      <x:c r="H50" s="6" t="str">
        <x:v>NS3-019.csv</x:v>
      </x:c>
      <x:c r="I50" s="6" t="n">
        <x:v>10</x:v>
      </x:c>
      <x:c r="J50" s="6" t="n">
        <x:v>10</x:v>
      </x:c>
      <x:c r="K50" s="7" t="b">
        <x:v>1</x:v>
      </x:c>
      <x:c r="L50" s="7" t="b">
        <x:v>1</x:v>
      </x:c>
      <x:c r="M50" s="7" t="b">
        <x:v>1</x:v>
      </x:c>
      <x:c r="N50" s="6" t="n">
        <x:v>0</x:v>
      </x:c>
      <x:c r="O50" s="6" t="n">
        <x:v>0</x:v>
      </x:c>
      <x:c r="P50" s="6" t="n">
        <x:v>0</x:v>
      </x:c>
      <x:c r="Q50" s="6" t="str">
        <x:v>{}</x:v>
      </x:c>
      <x:c r="R50" s="6" t="n">
        <x:v>0</x:v>
      </x:c>
      <x:c r="S50" s="6" t="str">
        <x:v>Pass</x:v>
      </x:c>
      <x:c r="T50" s="6" t="str">
        <x:v>Pass</x:v>
      </x:c>
      <x:c r="U50" s="6" t="str">
        <x:v>Pass</x:v>
      </x:c>
      <x:c r="V50" s="6" t="str">
        <x:v>Pass</x:v>
      </x:c>
      <x:c r="W50" s="6" t="str">
        <x:v>Pass</x:v>
      </x:c>
      <x:c r="X50" s="6" t="str">
        <x:v>Pass</x:v>
      </x:c>
      <x:c r="Y50" s="7" t="b">
        <x:v>0</x:v>
      </x:c>
      <x:c r="Z50" s="6" t="str">
        <x:v>Independent execution reproduced all 10 supplied rows, columns and values (comparison ignores row order and tolerates six-decimal floating-point representation differences). No returned sentinel values were found.</x:v>
      </x:c>
    </x:row>
    <x:row r="51" ht="90" customHeight="1">
      <x:c r="A51" s="6" t="str">
        <x:v>NS3-025</x:v>
      </x:c>
      <x:c r="B51" s="6" t="str">
        <x:v>NS</x:v>
      </x:c>
      <x:c r="C51" s="6" t="str">
        <x:v>geopandas</x:v>
      </x:c>
      <x:c r="D51" s="6" t="str">
        <x:v>hard</x:v>
      </x:c>
      <x:c r="E51" s="6" t="str">
        <x:v>Are there any surface samples that fall outside every mapped 1:250k map sheet? Report how many, and the count that fall inside.</x:v>
      </x:c>
      <x:c r="F51" s="6" t="n">
        <x:v>1</x:v>
      </x:c>
      <x:c r="G51" s="6" t="str">
        <x:v>NS3-025.csv</x:v>
      </x:c>
      <x:c r="H51" s="6" t="str">
        <x:v>NS3-025.csv</x:v>
      </x:c>
      <x:c r="I51" s="6" t="n">
        <x:v>1</x:v>
      </x:c>
      <x:c r="J51" s="6" t="n">
        <x:v>1</x:v>
      </x:c>
      <x:c r="K51" s="7" t="b">
        <x:v>1</x:v>
      </x:c>
      <x:c r="L51" s="7" t="b">
        <x:v>1</x:v>
      </x:c>
      <x:c r="M51" s="7" t="b">
        <x:v>1</x:v>
      </x:c>
      <x:c r="N51" s="6" t="n">
        <x:v>0</x:v>
      </x:c>
      <x:c r="O51" s="6" t="n">
        <x:v>0</x:v>
      </x:c>
      <x:c r="P51" s="6" t="n">
        <x:v>0</x:v>
      </x:c>
      <x:c r="Q51" s="6" t="str">
        <x:v>{}</x:v>
      </x:c>
      <x:c r="R51" s="6" t="n">
        <x:v>0</x:v>
      </x:c>
      <x:c r="S51" s="6" t="str">
        <x:v>Pass</x:v>
      </x:c>
      <x:c r="T51" s="6" t="str">
        <x:v>Pass</x:v>
      </x:c>
      <x:c r="U51" s="6" t="str">
        <x:v>Pass</x:v>
      </x:c>
      <x:c r="V51" s="6" t="str">
        <x:v>Pass</x:v>
      </x:c>
      <x:c r="W51" s="6" t="str">
        <x:v>Pass</x:v>
      </x:c>
      <x:c r="X51" s="6" t="str">
        <x:v>Pass</x:v>
      </x:c>
      <x:c r="Y51" s="7" t="b">
        <x:v>0</x:v>
      </x:c>
      <x:c r="Z51" s="6" t="str">
        <x:v>Independent execution reproduced all 1 supplied rows, columns and values (comparison ignores row order and tolerates six-decimal floating-point representation differences). No returned sentinel values were found.</x:v>
      </x:c>
    </x:row>
    <x:row r="52" ht="90" customHeight="1">
      <x:c r="A52" s="6" t="str">
        <x:v>NS3-031</x:v>
      </x:c>
      <x:c r="B52" s="6" t="str">
        <x:v>NS</x:v>
      </x:c>
      <x:c r="C52" s="6" t="str">
        <x:v>geopandas</x:v>
      </x:c>
      <x:c r="D52" s="6" t="str">
        <x:v>medium</x:v>
      </x:c>
      <x:c r="E52" s="6" t="str">
        <x:v>Are the silver anomalies close to any towns?</x:v>
      </x:c>
      <x:c r="F52" s="6" t="n">
        <x:v>5</x:v>
      </x:c>
      <x:c r="G52" s="6" t="str">
        <x:v>NS3-031.csv</x:v>
      </x:c>
      <x:c r="H52" s="6" t="str">
        <x:v>NS3-031.csv</x:v>
      </x:c>
      <x:c r="I52" s="6" t="n">
        <x:v>5</x:v>
      </x:c>
      <x:c r="J52" s="6" t="n">
        <x:v>5</x:v>
      </x:c>
      <x:c r="K52" s="7" t="b">
        <x:v>1</x:v>
      </x:c>
      <x:c r="L52" s="7" t="b">
        <x:v>1</x:v>
      </x:c>
      <x:c r="M52" s="7" t="b">
        <x:v>1</x:v>
      </x:c>
      <x:c r="N52" s="6" t="n">
        <x:v>0</x:v>
      </x:c>
      <x:c r="O52" s="6" t="n">
        <x:v>0</x:v>
      </x:c>
      <x:c r="P52" s="6" t="n">
        <x:v>0</x:v>
      </x:c>
      <x:c r="Q52" s="6" t="str">
        <x:v>{}</x:v>
      </x:c>
      <x:c r="R52" s="6" t="n">
        <x:v>0</x:v>
      </x:c>
      <x:c r="S52" s="6" t="str">
        <x:v>Pass</x:v>
      </x:c>
      <x:c r="T52" s="6" t="str">
        <x:v>Pass</x:v>
      </x:c>
      <x:c r="U52" s="6" t="str">
        <x:v>Pass</x:v>
      </x:c>
      <x:c r="V52" s="6" t="str">
        <x:v>Pass</x:v>
      </x:c>
      <x:c r="W52" s="6" t="str">
        <x:v>Pass</x:v>
      </x:c>
      <x:c r="X52" s="6" t="str">
        <x:v>Pass</x:v>
      </x:c>
      <x:c r="Y52" s="7" t="b">
        <x:v>0</x:v>
      </x:c>
      <x:c r="Z52" s="6" t="str">
        <x:v>Independent execution reproduced all 5 supplied rows, columns and values (comparison ignores row order and tolerates six-decimal floating-point representation differences). No returned sentinel values were found.</x:v>
      </x:c>
    </x:row>
    <x:row r="53" ht="90" customHeight="1">
      <x:c r="A53" s="6" t="str">
        <x:v>NS3-036</x:v>
      </x:c>
      <x:c r="B53" s="6" t="str">
        <x:v>NS</x:v>
      </x:c>
      <x:c r="C53" s="6" t="str">
        <x:v>viz</x:v>
      </x:c>
      <x:c r="D53" s="6" t="str">
        <x:v>medium</x:v>
      </x:c>
      <x:c r="E53" s="6" t="str">
        <x:v>Draw a map of the Kalgoorlie box showing surface samples coloured by which sample medium they are.</x:v>
      </x:c>
      <x:c r="F53" s="6" t="n">
        <x:v>1</x:v>
      </x:c>
      <x:c r="G53" s="6" t="str">
        <x:v>NS3-036.png</x:v>
      </x:c>
      <x:c r="H53" s="6" t="str">
        <x:v>NS3-036.png</x:v>
      </x:c>
      <x:c r="I53" s="6" t="str"/>
      <x:c r="J53" s="6" t="str"/>
      <x:c r="K53" s="6" t="str"/>
      <x:c r="L53" s="6" t="str"/>
      <x:c r="M53" s="7" t="b">
        <x:v>1</x:v>
      </x:c>
      <x:c r="N53" s="6" t="str"/>
      <x:c r="O53" s="6" t="str"/>
      <x:c r="P53" s="6" t="str"/>
      <x:c r="Q53" s="6" t="str">
        <x:v>{}</x:v>
      </x:c>
      <x:c r="R53" s="6" t="n">
        <x:v>0</x:v>
      </x:c>
      <x:c r="S53" s="6" t="str">
        <x:v>Pass</x:v>
      </x:c>
      <x:c r="T53" s="6" t="str">
        <x:v>Pass</x:v>
      </x:c>
      <x:c r="U53" s="6" t="str">
        <x:v>Pass</x:v>
      </x:c>
      <x:c r="V53" s="6" t="str">
        <x:v>Pass</x:v>
      </x:c>
      <x:c r="W53" s="6" t="str">
        <x:v>Pass</x:v>
      </x:c>
      <x:c r="X53" s="6" t="str">
        <x:v>Pass</x:v>
      </x:c>
      <x:c r="Y53" s="7" t="b">
        <x:v>0</x:v>
      </x:c>
      <x:c r="Z53" s="6" t="str">
        <x:v>Independent execution reproduced the visual. Perceptual hash similarity is 99.0%; the different pixel dimensions are caused by the verification export DPI. No sentinel values are displayed in the plotted data.</x:v>
      </x:c>
    </x:row>
    <x:row r="54" ht="90" customHeight="1">
      <x:c r="A54" s="6" t="str">
        <x:v>NS3-037</x:v>
      </x:c>
      <x:c r="B54" s="6" t="str">
        <x:v>NS</x:v>
      </x:c>
      <x:c r="C54" s="6" t="str">
        <x:v>viz</x:v>
      </x:c>
      <x:c r="D54" s="6" t="str">
        <x:v>easy</x:v>
      </x:c>
      <x:c r="E54" s="6" t="str">
        <x:v>Draw a hexbin map of stream sediment sample density across the state.</x:v>
      </x:c>
      <x:c r="F54" s="6" t="n">
        <x:v>1</x:v>
      </x:c>
      <x:c r="G54" s="6" t="str">
        <x:v>NS3-037.png</x:v>
      </x:c>
      <x:c r="H54" s="6" t="str">
        <x:v>NS3-037.png</x:v>
      </x:c>
      <x:c r="I54" s="6" t="str"/>
      <x:c r="J54" s="6" t="str"/>
      <x:c r="K54" s="6" t="str"/>
      <x:c r="L54" s="6" t="str"/>
      <x:c r="M54" s="7" t="b">
        <x:v>1</x:v>
      </x:c>
      <x:c r="N54" s="6" t="str"/>
      <x:c r="O54" s="6" t="str"/>
      <x:c r="P54" s="6" t="str"/>
      <x:c r="Q54" s="6" t="str">
        <x:v>{}</x:v>
      </x:c>
      <x:c r="R54" s="6" t="n">
        <x:v>0</x:v>
      </x:c>
      <x:c r="S54" s="6" t="str">
        <x:v>Pass</x:v>
      </x:c>
      <x:c r="T54" s="6" t="str">
        <x:v>Pass</x:v>
      </x:c>
      <x:c r="U54" s="6" t="str">
        <x:v>Pass</x:v>
      </x:c>
      <x:c r="V54" s="6" t="str">
        <x:v>Pass</x:v>
      </x:c>
      <x:c r="W54" s="6" t="str">
        <x:v>Pass</x:v>
      </x:c>
      <x:c r="X54" s="6" t="str">
        <x:v>Pass</x:v>
      </x:c>
      <x:c r="Y54" s="7" t="b">
        <x:v>0</x:v>
      </x:c>
      <x:c r="Z54" s="6" t="str">
        <x:v>Independent execution reproduced the visual. Perceptual hash similarity is 98.8%; the different pixel dimensions are caused by the verification export DPI. No sentinel values are displayed in the plotted data.</x:v>
      </x:c>
    </x:row>
    <x:row r="55" ht="90" customHeight="1">
      <x:c r="A55" s="6" t="str">
        <x:v>NS3-040</x:v>
      </x:c>
      <x:c r="B55" s="6" t="str">
        <x:v>NS</x:v>
      </x:c>
      <x:c r="C55" s="6" t="str">
        <x:v>sql</x:v>
      </x:c>
      <x:c r="D55" s="6" t="str">
        <x:v>easy</x:v>
      </x:c>
      <x:c r="E55" s="6" t="str">
        <x:v>In the Kalgoorlie-to-Leonora window (longitude 120.5 to 122.5, latitude -32.0 to -28.5), how many surface samples fall inside mapped palaeovalleys?</x:v>
      </x:c>
      <x:c r="F55" s="6" t="n">
        <x:v>1</x:v>
      </x:c>
      <x:c r="G55" s="6" t="str">
        <x:v>NS3-040.csv</x:v>
      </x:c>
      <x:c r="H55" s="6" t="str">
        <x:v>NS3-040.csv</x:v>
      </x:c>
      <x:c r="I55" s="6" t="n">
        <x:v>1</x:v>
      </x:c>
      <x:c r="J55" s="6" t="n">
        <x:v>1</x:v>
      </x:c>
      <x:c r="K55" s="7" t="b">
        <x:v>1</x:v>
      </x:c>
      <x:c r="L55" s="7" t="b">
        <x:v>1</x:v>
      </x:c>
      <x:c r="M55" s="7" t="b">
        <x:v>1</x:v>
      </x:c>
      <x:c r="N55" s="6" t="n">
        <x:v>0</x:v>
      </x:c>
      <x:c r="O55" s="6" t="n">
        <x:v>0</x:v>
      </x:c>
      <x:c r="P55" s="6" t="n">
        <x:v>0</x:v>
      </x:c>
      <x:c r="Q55" s="6" t="str">
        <x:v>{}</x:v>
      </x:c>
      <x:c r="R55" s="6" t="n">
        <x:v>0</x:v>
      </x:c>
      <x:c r="S55" s="6" t="str">
        <x:v>Pass</x:v>
      </x:c>
      <x:c r="T55" s="6" t="str">
        <x:v>Pass</x:v>
      </x:c>
      <x:c r="U55" s="6" t="str">
        <x:v>Pass</x:v>
      </x:c>
      <x:c r="V55" s="6" t="str">
        <x:v>Pass</x:v>
      </x:c>
      <x:c r="W55" s="6" t="str">
        <x:v>Pass</x:v>
      </x:c>
      <x:c r="X55" s="6" t="str">
        <x:v>Pass</x:v>
      </x:c>
      <x:c r="Y55" s="7" t="b">
        <x:v>0</x:v>
      </x:c>
      <x:c r="Z55" s="6" t="str">
        <x:v>Independent execution reproduced all 1 supplied rows, columns and values (comparison ignores row order and tolerates six-decimal floating-point representation differences). No returned sentinel values were found.</x:v>
      </x:c>
    </x:row>
    <x:row r="56" ht="90" customHeight="1">
      <x:c r="A56" s="6" t="str">
        <x:v>NS3-043</x:v>
      </x:c>
      <x:c r="B56" s="6" t="str">
        <x:v>NS</x:v>
      </x:c>
      <x:c r="C56" s="6" t="str">
        <x:v>sql</x:v>
      </x:c>
      <x:c r="D56" s="6" t="str">
        <x:v>medium</x:v>
      </x:c>
      <x:c r="E56" s="6" t="str">
        <x:v>How far apart are the surface samples typically? Estimate sampling density per map sheet as samples per square kilometre.</x:v>
      </x:c>
      <x:c r="F56" s="6" t="n">
        <x:v>8</x:v>
      </x:c>
      <x:c r="G56" s="6" t="str">
        <x:v>NS3-043.csv</x:v>
      </x:c>
      <x:c r="H56" s="6" t="str">
        <x:v>NS3-043.csv</x:v>
      </x:c>
      <x:c r="I56" s="6" t="n">
        <x:v>8</x:v>
      </x:c>
      <x:c r="J56" s="6" t="n">
        <x:v>8</x:v>
      </x:c>
      <x:c r="K56" s="7" t="b">
        <x:v>1</x:v>
      </x:c>
      <x:c r="L56" s="7" t="b">
        <x:v>1</x:v>
      </x:c>
      <x:c r="M56" s="7" t="b">
        <x:v>1</x:v>
      </x:c>
      <x:c r="N56" s="6" t="n">
        <x:v>0</x:v>
      </x:c>
      <x:c r="O56" s="6" t="n">
        <x:v>0</x:v>
      </x:c>
      <x:c r="P56" s="6" t="n">
        <x:v>0</x:v>
      </x:c>
      <x:c r="Q56" s="6" t="str">
        <x:v>{}</x:v>
      </x:c>
      <x:c r="R56" s="6" t="n">
        <x:v>0</x:v>
      </x:c>
      <x:c r="S56" s="6" t="str">
        <x:v>Pass</x:v>
      </x:c>
      <x:c r="T56" s="6" t="str">
        <x:v>Pass</x:v>
      </x:c>
      <x:c r="U56" s="6" t="str">
        <x:v>Pass</x:v>
      </x:c>
      <x:c r="V56" s="6" t="str">
        <x:v>Pass</x:v>
      </x:c>
      <x:c r="W56" s="6" t="str">
        <x:v>Pass</x:v>
      </x:c>
      <x:c r="X56" s="6" t="str">
        <x:v>Pass</x:v>
      </x:c>
      <x:c r="Y56" s="7" t="b">
        <x:v>0</x:v>
      </x:c>
      <x:c r="Z56" s="6" t="str">
        <x:v>Independent execution reproduced all 8 supplied rows, columns and values (comparison ignores row order and tolerates six-decimal floating-point representation differences). No returned sentinel values were found.</x:v>
      </x:c>
    </x:row>
    <x:row r="57" ht="90" customHeight="1">
      <x:c r="A57" s="6" t="str">
        <x:v>NS4-016</x:v>
      </x:c>
      <x:c r="B57" s="6" t="str">
        <x:v>NS</x:v>
      </x:c>
      <x:c r="C57" s="6" t="str">
        <x:v>python</x:v>
      </x:c>
      <x:c r="D57" s="6" t="str">
        <x:v>hard</x:v>
      </x:c>
      <x:c r="E57" s="6" t="str">
        <x:v>Build a pairwise correlation matrix for Au, As, Cu, Ni, Zn and Pb in soil samples, using only pairs where both elements are measured.</x:v>
      </x:c>
      <x:c r="F57" s="6" t="n">
        <x:v>6</x:v>
      </x:c>
      <x:c r="G57" s="6" t="str">
        <x:v>NS4-016.csv</x:v>
      </x:c>
      <x:c r="H57" s="6" t="str">
        <x:v>NS4-016.csv</x:v>
      </x:c>
      <x:c r="I57" s="6" t="n">
        <x:v>6</x:v>
      </x:c>
      <x:c r="J57" s="6" t="n">
        <x:v>6</x:v>
      </x:c>
      <x:c r="K57" s="7" t="b">
        <x:v>1</x:v>
      </x:c>
      <x:c r="L57" s="7" t="b">
        <x:v>1</x:v>
      </x:c>
      <x:c r="M57" s="7" t="b">
        <x:v>1</x:v>
      </x:c>
      <x:c r="N57" s="6" t="n">
        <x:v>0</x:v>
      </x:c>
      <x:c r="O57" s="6" t="n">
        <x:v>0</x:v>
      </x:c>
      <x:c r="P57" s="6" t="n">
        <x:v>0</x:v>
      </x:c>
      <x:c r="Q57" s="6" t="str">
        <x:v>{}</x:v>
      </x:c>
      <x:c r="R57" s="6" t="n">
        <x:v>0</x:v>
      </x:c>
      <x:c r="S57" s="6" t="str">
        <x:v>Pass</x:v>
      </x:c>
      <x:c r="T57" s="6" t="str">
        <x:v>Pass</x:v>
      </x:c>
      <x:c r="U57" s="6" t="str">
        <x:v>Pass</x:v>
      </x:c>
      <x:c r="V57" s="6" t="str">
        <x:v>Pass</x:v>
      </x:c>
      <x:c r="W57" s="6" t="str">
        <x:v>Pass</x:v>
      </x:c>
      <x:c r="X57" s="6" t="str">
        <x:v>Pass</x:v>
      </x:c>
      <x:c r="Y57" s="7" t="b">
        <x:v>0</x:v>
      </x:c>
      <x:c r="Z57" s="6" t="str">
        <x:v>Independent execution reproduced all 6 supplied rows, columns and values (comparison ignores row order and tolerates six-decimal floating-point representation differences). No returned sentinel values were found.</x:v>
      </x:c>
    </x:row>
    <x:row r="58" ht="90" customHeight="1">
      <x:c r="A58" s="6" t="str">
        <x:v>NS4-024</x:v>
      </x:c>
      <x:c r="B58" s="6" t="str">
        <x:v>NS</x:v>
      </x:c>
      <x:c r="C58" s="6" t="str">
        <x:v>sql</x:v>
      </x:c>
      <x:c r="D58" s="6" t="str">
        <x:v>hard</x:v>
      </x:c>
      <x:c r="E58" s="6" t="str">
        <x:v>Compute the Cu/Au ratio for rock chips where both are measured and Au is above detection, and report the median ratio by ratio class (below 1000, 1000-10000, above 10000).</x:v>
      </x:c>
      <x:c r="F58" s="6" t="n">
        <x:v>3</x:v>
      </x:c>
      <x:c r="G58" s="6" t="str">
        <x:v>NS4-024.csv</x:v>
      </x:c>
      <x:c r="H58" s="6" t="str">
        <x:v>NS4-024.csv</x:v>
      </x:c>
      <x:c r="I58" s="6" t="n">
        <x:v>3</x:v>
      </x:c>
      <x:c r="J58" s="6" t="n">
        <x:v>3</x:v>
      </x:c>
      <x:c r="K58" s="7" t="b">
        <x:v>1</x:v>
      </x:c>
      <x:c r="L58" s="7" t="b">
        <x:v>1</x:v>
      </x:c>
      <x:c r="M58" s="7" t="b">
        <x:v>1</x:v>
      </x:c>
      <x:c r="N58" s="6" t="n">
        <x:v>0</x:v>
      </x:c>
      <x:c r="O58" s="6" t="n">
        <x:v>0</x:v>
      </x:c>
      <x:c r="P58" s="6" t="n">
        <x:v>0</x:v>
      </x:c>
      <x:c r="Q58" s="6" t="str">
        <x:v>{}</x:v>
      </x:c>
      <x:c r="R58" s="6" t="n">
        <x:v>0</x:v>
      </x:c>
      <x:c r="S58" s="6" t="str">
        <x:v>Pass</x:v>
      </x:c>
      <x:c r="T58" s="6" t="str">
        <x:v>Pass</x:v>
      </x:c>
      <x:c r="U58" s="6" t="str">
        <x:v>Pass</x:v>
      </x:c>
      <x:c r="V58" s="6" t="str">
        <x:v>Pass</x:v>
      </x:c>
      <x:c r="W58" s="6" t="str">
        <x:v>Pass</x:v>
      </x:c>
      <x:c r="X58" s="6" t="str">
        <x:v>Pass</x:v>
      </x:c>
      <x:c r="Y58" s="7" t="b">
        <x:v>0</x:v>
      </x:c>
      <x:c r="Z58" s="6" t="str">
        <x:v>Independent execution reproduced all 3 supplied rows, columns and values (comparison ignores row order and tolerates six-decimal floating-point representation differences). No returned sentinel values were found.</x:v>
      </x:c>
    </x:row>
    <x:row r="59" ht="90" customHeight="1">
      <x:c r="A59" s="6" t="str">
        <x:v>NS4-031</x:v>
      </x:c>
      <x:c r="B59" s="6" t="str">
        <x:v>NS</x:v>
      </x:c>
      <x:c r="C59" s="6" t="str">
        <x:v>sql</x:v>
      </x:c>
      <x:c r="D59" s="6" t="str">
        <x:v>medium</x:v>
      </x:c>
      <x:c r="E59" s="6" t="str">
        <x:v>The Ravensthorpe region reports very high tantalum. What is the highest value, and is it credible?</x:v>
      </x:c>
      <x:c r="F59" s="6" t="n">
        <x:v>4</x:v>
      </x:c>
      <x:c r="G59" s="6" t="str">
        <x:v>NS4-031.csv</x:v>
      </x:c>
      <x:c r="H59" s="6" t="str">
        <x:v>NS4-031.csv</x:v>
      </x:c>
      <x:c r="I59" s="6" t="n">
        <x:v>4</x:v>
      </x:c>
      <x:c r="J59" s="6" t="n">
        <x:v>4</x:v>
      </x:c>
      <x:c r="K59" s="7" t="b">
        <x:v>1</x:v>
      </x:c>
      <x:c r="L59" s="7" t="b">
        <x:v>1</x:v>
      </x:c>
      <x:c r="M59" s="7" t="b">
        <x:v>1</x:v>
      </x:c>
      <x:c r="N59" s="6" t="n">
        <x:v>0</x:v>
      </x:c>
      <x:c r="O59" s="6" t="n">
        <x:v>0</x:v>
      </x:c>
      <x:c r="P59" s="6" t="n">
        <x:v>0</x:v>
      </x:c>
      <x:c r="Q59" s="6" t="str">
        <x:v>{}</x:v>
      </x:c>
      <x:c r="R59" s="6" t="n">
        <x:v>0</x:v>
      </x:c>
      <x:c r="S59" s="6" t="str">
        <x:v>Pass</x:v>
      </x:c>
      <x:c r="T59" s="6" t="str">
        <x:v>Pass</x:v>
      </x:c>
      <x:c r="U59" s="6" t="str">
        <x:v>Pass</x:v>
      </x:c>
      <x:c r="V59" s="6" t="str">
        <x:v>Pass</x:v>
      </x:c>
      <x:c r="W59" s="6" t="str">
        <x:v>Pass</x:v>
      </x:c>
      <x:c r="X59" s="6" t="str">
        <x:v>Pass</x:v>
      </x:c>
      <x:c r="Y59" s="7" t="b">
        <x:v>0</x:v>
      </x:c>
      <x:c r="Z59" s="6" t="str">
        <x:v>Independent execution reproduced all 4 supplied rows, columns and values (comparison ignores row order and tolerates six-decimal floating-point representation differences). No returned sentinel values were found.</x:v>
      </x:c>
    </x:row>
    <x:row r="60" ht="90" customHeight="1">
      <x:c r="A60" s="6" t="str">
        <x:v>NS4-032</x:v>
      </x:c>
      <x:c r="B60" s="6" t="str">
        <x:v>NS</x:v>
      </x:c>
      <x:c r="C60" s="6" t="str">
        <x:v>sql</x:v>
      </x:c>
      <x:c r="D60" s="6" t="str">
        <x:v>easy</x:v>
      </x:c>
      <x:c r="E60" s="6" t="str">
        <x:v>Which elements can I look up for a surface sample but not for a drill hole interval?</x:v>
      </x:c>
      <x:c r="F60" s="6" t="n">
        <x:v>6</x:v>
      </x:c>
      <x:c r="G60" s="6" t="str">
        <x:v>NS4-032.csv</x:v>
      </x:c>
      <x:c r="H60" s="6" t="str">
        <x:v>NS4-032.csv</x:v>
      </x:c>
      <x:c r="I60" s="6" t="n">
        <x:v>6</x:v>
      </x:c>
      <x:c r="J60" s="6" t="n">
        <x:v>6</x:v>
      </x:c>
      <x:c r="K60" s="7" t="b">
        <x:v>1</x:v>
      </x:c>
      <x:c r="L60" s="7" t="b">
        <x:v>1</x:v>
      </x:c>
      <x:c r="M60" s="7" t="b">
        <x:v>1</x:v>
      </x:c>
      <x:c r="N60" s="6" t="n">
        <x:v>0</x:v>
      </x:c>
      <x:c r="O60" s="6" t="n">
        <x:v>0</x:v>
      </x:c>
      <x:c r="P60" s="6" t="n">
        <x:v>0</x:v>
      </x:c>
      <x:c r="Q60" s="6" t="str">
        <x:v>{}</x:v>
      </x:c>
      <x:c r="R60" s="6" t="n">
        <x:v>0</x:v>
      </x:c>
      <x:c r="S60" s="6" t="str">
        <x:v>Pass</x:v>
      </x:c>
      <x:c r="T60" s="6" t="str">
        <x:v>Pass</x:v>
      </x:c>
      <x:c r="U60" s="6" t="str">
        <x:v>Pass</x:v>
      </x:c>
      <x:c r="V60" s="6" t="str">
        <x:v>Pass</x:v>
      </x:c>
      <x:c r="W60" s="6" t="str">
        <x:v>Pass</x:v>
      </x:c>
      <x:c r="X60" s="6" t="str">
        <x:v>Pass</x:v>
      </x:c>
      <x:c r="Y60" s="7" t="b">
        <x:v>0</x:v>
      </x:c>
      <x:c r="Z60" s="6" t="str">
        <x:v>Independent execution reproduced all 6 supplied rows, columns and values (comparison ignores row order and tolerates six-decimal floating-point representation differences). No returned sentinel values were found.</x:v>
      </x:c>
    </x:row>
    <x:row r="61" ht="90" customHeight="1">
      <x:c r="A61" s="6" t="str">
        <x:v>NS4-033</x:v>
      </x:c>
      <x:c r="B61" s="6" t="str">
        <x:v>NS</x:v>
      </x:c>
      <x:c r="C61" s="6" t="str">
        <x:v>python</x:v>
      </x:c>
      <x:c r="D61" s="6" t="str">
        <x:v>medium</x:v>
      </x:c>
      <x:c r="E61" s="6" t="str">
        <x:v>Which elements travel together in soil? Give the correlation matrix for gold, arsenic, copper, nickel and cobalt on log-transformed values, and report how many samples carry all five.</x:v>
      </x:c>
      <x:c r="F61" s="6" t="n">
        <x:v>5</x:v>
      </x:c>
      <x:c r="G61" s="6" t="str">
        <x:v>NS4-033.csv</x:v>
      </x:c>
      <x:c r="H61" s="6" t="str">
        <x:v>NS4-033.csv</x:v>
      </x:c>
      <x:c r="I61" s="6" t="n">
        <x:v>5</x:v>
      </x:c>
      <x:c r="J61" s="6" t="n">
        <x:v>5</x:v>
      </x:c>
      <x:c r="K61" s="7" t="b">
        <x:v>1</x:v>
      </x:c>
      <x:c r="L61" s="7" t="b">
        <x:v>1</x:v>
      </x:c>
      <x:c r="M61" s="7" t="b">
        <x:v>1</x:v>
      </x:c>
      <x:c r="N61" s="6" t="n">
        <x:v>0</x:v>
      </x:c>
      <x:c r="O61" s="6" t="n">
        <x:v>0</x:v>
      </x:c>
      <x:c r="P61" s="6" t="n">
        <x:v>0</x:v>
      </x:c>
      <x:c r="Q61" s="6" t="str">
        <x:v>{}</x:v>
      </x:c>
      <x:c r="R61" s="6" t="n">
        <x:v>0</x:v>
      </x:c>
      <x:c r="S61" s="6" t="str">
        <x:v>Pass</x:v>
      </x:c>
      <x:c r="T61" s="6" t="str">
        <x:v>Pass</x:v>
      </x:c>
      <x:c r="U61" s="6" t="str">
        <x:v>Pass</x:v>
      </x:c>
      <x:c r="V61" s="6" t="str">
        <x:v>Pass</x:v>
      </x:c>
      <x:c r="W61" s="6" t="str">
        <x:v>Pass</x:v>
      </x:c>
      <x:c r="X61" s="6" t="str">
        <x:v>Pass</x:v>
      </x:c>
      <x:c r="Y61" s="7" t="b">
        <x:v>0</x:v>
      </x:c>
      <x:c r="Z61" s="6" t="str">
        <x:v>Independent execution reproduced all 5 supplied rows, columns and values (comparison ignores row order and tolerates six-decimal floating-point representation differences). No returned sentinel values were found.</x:v>
      </x:c>
    </x:row>
    <x:row r="62" ht="90" customHeight="1">
      <x:c r="A62" s="6" t="str">
        <x:v>NS4-040</x:v>
      </x:c>
      <x:c r="B62" s="6" t="str">
        <x:v>NS</x:v>
      </x:c>
      <x:c r="C62" s="6" t="str">
        <x:v>python</x:v>
      </x:c>
      <x:c r="D62" s="6" t="str">
        <x:v>easy</x:v>
      </x:c>
      <x:c r="E62" s="6" t="str">
        <x:v>Which pairs of elements are most often measured together in soil? Give the top ten pairs.</x:v>
      </x:c>
      <x:c r="F62" s="6" t="n">
        <x:v>10</x:v>
      </x:c>
      <x:c r="G62" s="6" t="str">
        <x:v>NS4-040.csv</x:v>
      </x:c>
      <x:c r="H62" s="6" t="str">
        <x:v>NS4-040.csv</x:v>
      </x:c>
      <x:c r="I62" s="6" t="n">
        <x:v>10</x:v>
      </x:c>
      <x:c r="J62" s="6" t="n">
        <x:v>10</x:v>
      </x:c>
      <x:c r="K62" s="7" t="b">
        <x:v>1</x:v>
      </x:c>
      <x:c r="L62" s="7" t="b">
        <x:v>1</x:v>
      </x:c>
      <x:c r="M62" s="7" t="b">
        <x:v>1</x:v>
      </x:c>
      <x:c r="N62" s="6" t="n">
        <x:v>0</x:v>
      </x:c>
      <x:c r="O62" s="6" t="n">
        <x:v>0</x:v>
      </x:c>
      <x:c r="P62" s="6" t="n">
        <x:v>0</x:v>
      </x:c>
      <x:c r="Q62" s="6" t="str">
        <x:v>{}</x:v>
      </x:c>
      <x:c r="R62" s="6" t="n">
        <x:v>0</x:v>
      </x:c>
      <x:c r="S62" s="6" t="str">
        <x:v>Pass</x:v>
      </x:c>
      <x:c r="T62" s="6" t="str">
        <x:v>Pass</x:v>
      </x:c>
      <x:c r="U62" s="6" t="str">
        <x:v>Pass</x:v>
      </x:c>
      <x:c r="V62" s="6" t="str">
        <x:v>Pass</x:v>
      </x:c>
      <x:c r="W62" s="6" t="str">
        <x:v>Pass</x:v>
      </x:c>
      <x:c r="X62" s="6" t="str">
        <x:v>Pass</x:v>
      </x:c>
      <x:c r="Y62" s="7" t="b">
        <x:v>0</x:v>
      </x:c>
      <x:c r="Z62" s="6" t="str">
        <x:v>Independent execution reproduced all 10 supplied rows, columns and values (comparison ignores row order and tolerates six-decimal floating-point representation differences). No returned sentinel values were found.</x:v>
      </x:c>
    </x:row>
    <x:row r="63" ht="90" customHeight="1">
      <x:c r="A63" s="6" t="str">
        <x:v>NS4-045</x:v>
      </x:c>
      <x:c r="B63" s="6" t="str">
        <x:v>NS</x:v>
      </x:c>
      <x:c r="C63" s="6" t="str">
        <x:v>geopandas</x:v>
      </x:c>
      <x:c r="D63" s="6" t="str">
        <x:v>easy</x:v>
      </x:c>
      <x:c r="E63" s="6" t="str">
        <x:v>Which geological rock types have the highest median nickel in surface samples?</x:v>
      </x:c>
      <x:c r="F63" s="6" t="n">
        <x:v>12</x:v>
      </x:c>
      <x:c r="G63" s="6" t="str">
        <x:v>NS4-045.csv</x:v>
      </x:c>
      <x:c r="H63" s="6" t="str">
        <x:v>NS4-045.csv</x:v>
      </x:c>
      <x:c r="I63" s="6" t="n">
        <x:v>12</x:v>
      </x:c>
      <x:c r="J63" s="6" t="n">
        <x:v>12</x:v>
      </x:c>
      <x:c r="K63" s="7" t="b">
        <x:v>1</x:v>
      </x:c>
      <x:c r="L63" s="7" t="b">
        <x:v>1</x:v>
      </x:c>
      <x:c r="M63" s="7" t="b">
        <x:v>1</x:v>
      </x:c>
      <x:c r="N63" s="6" t="n">
        <x:v>0</x:v>
      </x:c>
      <x:c r="O63" s="6" t="n">
        <x:v>0</x:v>
      </x:c>
      <x:c r="P63" s="6" t="n">
        <x:v>0</x:v>
      </x:c>
      <x:c r="Q63" s="6" t="str">
        <x:v>{}</x:v>
      </x:c>
      <x:c r="R63" s="6" t="n">
        <x:v>0</x:v>
      </x:c>
      <x:c r="S63" s="6" t="str">
        <x:v>Pass</x:v>
      </x:c>
      <x:c r="T63" s="6" t="str">
        <x:v>Pass</x:v>
      </x:c>
      <x:c r="U63" s="6" t="str">
        <x:v>Pass</x:v>
      </x:c>
      <x:c r="V63" s="6" t="str">
        <x:v>Pass</x:v>
      </x:c>
      <x:c r="W63" s="6" t="str">
        <x:v>Pass</x:v>
      </x:c>
      <x:c r="X63" s="6" t="str">
        <x:v>Pass</x:v>
      </x:c>
      <x:c r="Y63" s="7" t="b">
        <x:v>0</x:v>
      </x:c>
      <x:c r="Z63" s="6" t="str">
        <x:v>Independent execution reproduced all 12 supplied rows, columns and values (comparison ignores row order and tolerates six-decimal floating-point representation differences). No returned sentinel values were found.</x:v>
      </x:c>
    </x:row>
    <x:row r="64" ht="90" customHeight="1">
      <x:c r="A64" s="6" t="str">
        <x:v>NS4-048</x:v>
      </x:c>
      <x:c r="B64" s="6" t="str">
        <x:v>NS</x:v>
      </x:c>
      <x:c r="C64" s="6" t="str">
        <x:v>geopandas</x:v>
      </x:c>
      <x:c r="D64" s="6" t="str">
        <x:v>medium</x:v>
      </x:c>
      <x:c r="E64" s="6" t="str">
        <x:v>Where does the copper-lead-zinc association peak? Give the top 5 km cells by combined base-metal rank.</x:v>
      </x:c>
      <x:c r="F64" s="6" t="n">
        <x:v>12</x:v>
      </x:c>
      <x:c r="G64" s="6" t="str">
        <x:v>NS4-048.csv</x:v>
      </x:c>
      <x:c r="H64" s="6" t="str">
        <x:v>NS4-048.csv</x:v>
      </x:c>
      <x:c r="I64" s="6" t="n">
        <x:v>12</x:v>
      </x:c>
      <x:c r="J64" s="6" t="n">
        <x:v>12</x:v>
      </x:c>
      <x:c r="K64" s="7" t="b">
        <x:v>1</x:v>
      </x:c>
      <x:c r="L64" s="7" t="b">
        <x:v>1</x:v>
      </x:c>
      <x:c r="M64" s="7" t="b">
        <x:v>1</x:v>
      </x:c>
      <x:c r="N64" s="6" t="n">
        <x:v>0</x:v>
      </x:c>
      <x:c r="O64" s="6" t="n">
        <x:v>0</x:v>
      </x:c>
      <x:c r="P64" s="6" t="n">
        <x:v>0</x:v>
      </x:c>
      <x:c r="Q64" s="6" t="str">
        <x:v>{}</x:v>
      </x:c>
      <x:c r="R64" s="6" t="n">
        <x:v>0</x:v>
      </x:c>
      <x:c r="S64" s="6" t="str">
        <x:v>Pass</x:v>
      </x:c>
      <x:c r="T64" s="6" t="str">
        <x:v>Pass</x:v>
      </x:c>
      <x:c r="U64" s="6" t="str">
        <x:v>Pass</x:v>
      </x:c>
      <x:c r="V64" s="6" t="str">
        <x:v>Pass</x:v>
      </x:c>
      <x:c r="W64" s="6" t="str">
        <x:v>Pass</x:v>
      </x:c>
      <x:c r="X64" s="6" t="str">
        <x:v>Pass</x:v>
      </x:c>
      <x:c r="Y64" s="7" t="b">
        <x:v>0</x:v>
      </x:c>
      <x:c r="Z64" s="6" t="str">
        <x:v>Independent execution reproduced all 12 supplied rows, columns and values (comparison ignores row order and tolerates six-decimal floating-point representation differences). No returned sentinel values were found.</x:v>
      </x:c>
    </x:row>
    <x:row r="65" ht="90" customHeight="1">
      <x:c r="A65" s="6" t="str">
        <x:v>NS5-018</x:v>
      </x:c>
      <x:c r="B65" s="6" t="str">
        <x:v>NS</x:v>
      </x:c>
      <x:c r="C65" s="6" t="str">
        <x:v>viz</x:v>
      </x:c>
      <x:c r="D65" s="6" t="str">
        <x:v>hard</x:v>
      </x:c>
      <x:c r="E65" s="6" t="str">
        <x:v>Draw a correlation heatmap for Au, As, Cu, Ni, Zn and Pb in soil samples, annotating each cell with its coefficient.</x:v>
      </x:c>
      <x:c r="F65" s="6" t="n">
        <x:v>1</x:v>
      </x:c>
      <x:c r="G65" s="6" t="str">
        <x:v>NS5-018.png</x:v>
      </x:c>
      <x:c r="H65" s="6" t="str">
        <x:v>NS5-018.png</x:v>
      </x:c>
      <x:c r="I65" s="6" t="str"/>
      <x:c r="J65" s="6" t="str"/>
      <x:c r="K65" s="6" t="str"/>
      <x:c r="L65" s="6" t="str"/>
      <x:c r="M65" s="7" t="b">
        <x:v>1</x:v>
      </x:c>
      <x:c r="N65" s="6" t="str"/>
      <x:c r="O65" s="6" t="str"/>
      <x:c r="P65" s="6" t="str"/>
      <x:c r="Q65" s="6" t="str">
        <x:v>{}</x:v>
      </x:c>
      <x:c r="R65" s="6" t="n">
        <x:v>0</x:v>
      </x:c>
      <x:c r="S65" s="6" t="str">
        <x:v>Pass</x:v>
      </x:c>
      <x:c r="T65" s="6" t="str">
        <x:v>Pass</x:v>
      </x:c>
      <x:c r="U65" s="6" t="str">
        <x:v>Pass</x:v>
      </x:c>
      <x:c r="V65" s="6" t="str">
        <x:v>Pass</x:v>
      </x:c>
      <x:c r="W65" s="6" t="str">
        <x:v>Pass</x:v>
      </x:c>
      <x:c r="X65" s="6" t="str">
        <x:v>Pass</x:v>
      </x:c>
      <x:c r="Y65" s="7" t="b">
        <x:v>0</x:v>
      </x:c>
      <x:c r="Z65" s="6" t="str">
        <x:v>Independent execution reproduced the visual. Perceptual hash similarity is 99.0%; the different pixel dimensions are caused by the verification export DPI. No sentinel values are displayed in the plotted data.</x:v>
      </x:c>
    </x:row>
    <x:row r="66" ht="90" customHeight="1">
      <x:c r="A66" s="6" t="str">
        <x:v>NS5-025</x:v>
      </x:c>
      <x:c r="B66" s="6" t="str">
        <x:v>NS</x:v>
      </x:c>
      <x:c r="C66" s="6" t="str">
        <x:v>viz</x:v>
      </x:c>
      <x:c r="D66" s="6" t="str">
        <x:v>medium</x:v>
      </x:c>
      <x:c r="E66" s="6" t="str">
        <x:v>Show me the gold data.</x:v>
      </x:c>
      <x:c r="F66" s="6" t="n">
        <x:v>1</x:v>
      </x:c>
      <x:c r="G66" s="6" t="str">
        <x:v>NS5-025.png</x:v>
      </x:c>
      <x:c r="H66" s="6" t="str">
        <x:v>NS5-025.png</x:v>
      </x:c>
      <x:c r="I66" s="6" t="str"/>
      <x:c r="J66" s="6" t="str"/>
      <x:c r="K66" s="6" t="str"/>
      <x:c r="L66" s="6" t="str"/>
      <x:c r="M66" s="7" t="b">
        <x:v>1</x:v>
      </x:c>
      <x:c r="N66" s="6" t="str"/>
      <x:c r="O66" s="6" t="str"/>
      <x:c r="P66" s="6" t="str"/>
      <x:c r="Q66" s="6" t="str">
        <x:v>{}</x:v>
      </x:c>
      <x:c r="R66" s="6" t="n">
        <x:v>0</x:v>
      </x:c>
      <x:c r="S66" s="6" t="str">
        <x:v>Pass</x:v>
      </x:c>
      <x:c r="T66" s="6" t="str">
        <x:v>Pass</x:v>
      </x:c>
      <x:c r="U66" s="6" t="str">
        <x:v>Pass</x:v>
      </x:c>
      <x:c r="V66" s="6" t="str">
        <x:v>Pass</x:v>
      </x:c>
      <x:c r="W66" s="6" t="str">
        <x:v>Pass</x:v>
      </x:c>
      <x:c r="X66" s="6" t="str">
        <x:v>Pass</x:v>
      </x:c>
      <x:c r="Y66" s="7" t="b">
        <x:v>0</x:v>
      </x:c>
      <x:c r="Z66" s="6" t="str">
        <x:v>Independent execution reproduced the visual. Perceptual hash similarity is 100.0%; the different pixel dimensions are caused by the verification export DPI. No sentinel values are displayed in the plotted data.</x:v>
      </x:c>
    </x:row>
    <x:row r="67" ht="90" customHeight="1">
      <x:c r="A67" s="6" t="str">
        <x:v>NS5-029</x:v>
      </x:c>
      <x:c r="B67" s="6" t="str">
        <x:v>NS</x:v>
      </x:c>
      <x:c r="C67" s="6" t="str">
        <x:v>viz</x:v>
      </x:c>
      <x:c r="D67" s="6" t="str">
        <x:v>hard</x:v>
      </x:c>
      <x:c r="E67" s="6" t="str">
        <x:v>I need to see where people have actually taken samples in this state — give me something that shows the coverage, not the individual points.</x:v>
      </x:c>
      <x:c r="F67" s="6" t="n">
        <x:v>1</x:v>
      </x:c>
      <x:c r="G67" s="6" t="str">
        <x:v>NS5-029.png</x:v>
      </x:c>
      <x:c r="H67" s="6" t="str">
        <x:v>NS5-029.png</x:v>
      </x:c>
      <x:c r="I67" s="6" t="str"/>
      <x:c r="J67" s="6" t="str"/>
      <x:c r="K67" s="6" t="str"/>
      <x:c r="L67" s="6" t="str"/>
      <x:c r="M67" s="7" t="b">
        <x:v>1</x:v>
      </x:c>
      <x:c r="N67" s="6" t="str"/>
      <x:c r="O67" s="6" t="str"/>
      <x:c r="P67" s="6" t="str"/>
      <x:c r="Q67" s="6" t="str">
        <x:v>{}</x:v>
      </x:c>
      <x:c r="R67" s="6" t="n">
        <x:v>0</x:v>
      </x:c>
      <x:c r="S67" s="6" t="str">
        <x:v>Pass</x:v>
      </x:c>
      <x:c r="T67" s="6" t="str">
        <x:v>Pass</x:v>
      </x:c>
      <x:c r="U67" s="6" t="str">
        <x:v>Pass</x:v>
      </x:c>
      <x:c r="V67" s="6" t="str">
        <x:v>Pass</x:v>
      </x:c>
      <x:c r="W67" s="6" t="str">
        <x:v>Pass</x:v>
      </x:c>
      <x:c r="X67" s="6" t="str">
        <x:v>Pass</x:v>
      </x:c>
      <x:c r="Y67" s="7" t="b">
        <x:v>0</x:v>
      </x:c>
      <x:c r="Z67" s="6" t="str">
        <x:v>Independent execution reproduced the visual. Perceptual hash similarity is 99.7%; the different pixel dimensions are caused by the verification export DPI. No sentinel values are displayed in the plotted data.</x:v>
      </x:c>
    </x:row>
    <x:row r="68" ht="90" customHeight="1">
      <x:c r="A68" s="6" t="str">
        <x:v>NS5-033</x:v>
      </x:c>
      <x:c r="B68" s="6" t="str">
        <x:v>NS</x:v>
      </x:c>
      <x:c r="C68" s="6" t="str">
        <x:v>viz</x:v>
      </x:c>
      <x:c r="D68" s="6" t="str">
        <x:v>medium</x:v>
      </x:c>
      <x:c r="E68" s="6" t="str">
        <x:v>Draw a box plot comparing nickel across the four sample media, on a log axis.</x:v>
      </x:c>
      <x:c r="F68" s="6" t="n">
        <x:v>1</x:v>
      </x:c>
      <x:c r="G68" s="6" t="str">
        <x:v>NS5-033.png</x:v>
      </x:c>
      <x:c r="H68" s="6" t="str">
        <x:v>NS5-033.png</x:v>
      </x:c>
      <x:c r="I68" s="6" t="str"/>
      <x:c r="J68" s="6" t="str"/>
      <x:c r="K68" s="6" t="str"/>
      <x:c r="L68" s="6" t="str"/>
      <x:c r="M68" s="7" t="b">
        <x:v>1</x:v>
      </x:c>
      <x:c r="N68" s="6" t="str"/>
      <x:c r="O68" s="6" t="str"/>
      <x:c r="P68" s="6" t="str"/>
      <x:c r="Q68" s="6" t="str">
        <x:v>{}</x:v>
      </x:c>
      <x:c r="R68" s="6" t="n">
        <x:v>0</x:v>
      </x:c>
      <x:c r="S68" s="6" t="str">
        <x:v>Pass</x:v>
      </x:c>
      <x:c r="T68" s="6" t="str">
        <x:v>Pass</x:v>
      </x:c>
      <x:c r="U68" s="6" t="str">
        <x:v>Pass</x:v>
      </x:c>
      <x:c r="V68" s="6" t="str">
        <x:v>Pass</x:v>
      </x:c>
      <x:c r="W68" s="6" t="str">
        <x:v>Pass</x:v>
      </x:c>
      <x:c r="X68" s="6" t="str">
        <x:v>Pass</x:v>
      </x:c>
      <x:c r="Y68" s="7" t="b">
        <x:v>0</x:v>
      </x:c>
      <x:c r="Z68" s="6" t="str">
        <x:v>Independent execution reproduced the visual. Perceptual hash similarity is 99.2%; the different pixel dimensions are caused by the verification export DPI. No sentinel values are displayed in the plotted data.</x:v>
      </x:c>
    </x:row>
    <x:row r="69" ht="90" customHeight="1">
      <x:c r="A69" s="6" t="str">
        <x:v>NS5-040</x:v>
      </x:c>
      <x:c r="B69" s="6" t="str">
        <x:v>NS</x:v>
      </x:c>
      <x:c r="C69" s="6" t="str">
        <x:v>sql</x:v>
      </x:c>
      <x:c r="D69" s="6" t="str">
        <x:v>medium</x:v>
      </x:c>
      <x:c r="E69" s="6" t="str">
        <x:v>Prepare box plot statistics for gold by sample medium: min, quartiles, max and outlier fence.</x:v>
      </x:c>
      <x:c r="F69" s="6" t="n">
        <x:v>4</x:v>
      </x:c>
      <x:c r="G69" s="6" t="str">
        <x:v>NS5-040.csv</x:v>
      </x:c>
      <x:c r="H69" s="6" t="str">
        <x:v>NS5-040.csv</x:v>
      </x:c>
      <x:c r="I69" s="6" t="n">
        <x:v>4</x:v>
      </x:c>
      <x:c r="J69" s="6" t="n">
        <x:v>4</x:v>
      </x:c>
      <x:c r="K69" s="7" t="b">
        <x:v>1</x:v>
      </x:c>
      <x:c r="L69" s="7" t="b">
        <x:v>1</x:v>
      </x:c>
      <x:c r="M69" s="7" t="b">
        <x:v>1</x:v>
      </x:c>
      <x:c r="N69" s="6" t="n">
        <x:v>0</x:v>
      </x:c>
      <x:c r="O69" s="6" t="n">
        <x:v>0</x:v>
      </x:c>
      <x:c r="P69" s="6" t="n">
        <x:v>0</x:v>
      </x:c>
      <x:c r="Q69" s="6" t="str">
        <x:v>{}</x:v>
      </x:c>
      <x:c r="R69" s="6" t="n">
        <x:v>0</x:v>
      </x:c>
      <x:c r="S69" s="6" t="str">
        <x:v>Pass</x:v>
      </x:c>
      <x:c r="T69" s="6" t="str">
        <x:v>Pass</x:v>
      </x:c>
      <x:c r="U69" s="6" t="str">
        <x:v>Pass</x:v>
      </x:c>
      <x:c r="V69" s="6" t="str">
        <x:v>Pass</x:v>
      </x:c>
      <x:c r="W69" s="6" t="str">
        <x:v>Pass</x:v>
      </x:c>
      <x:c r="X69" s="6" t="str">
        <x:v>Pass</x:v>
      </x:c>
      <x:c r="Y69" s="7" t="b">
        <x:v>0</x:v>
      </x:c>
      <x:c r="Z69" s="6" t="str">
        <x:v>Independent execution reproduced all 4 supplied rows, columns and values (comparison ignores row order and tolerates six-decimal floating-point representation differences). No returned sentinel values were found.</x:v>
      </x:c>
    </x:row>
    <x:row r="70" ht="90" customHeight="1">
      <x:c r="A70" s="6" t="str">
        <x:v>NS5-048</x:v>
      </x:c>
      <x:c r="B70" s="6" t="str">
        <x:v>NS</x:v>
      </x:c>
      <x:c r="C70" s="6" t="str">
        <x:v>sql</x:v>
      </x:c>
      <x:c r="D70" s="6" t="str">
        <x:v>easy</x:v>
      </x:c>
      <x:c r="E70" s="6" t="str">
        <x:v>Prepare a table of sample counts per year-of-report for a timeline chart, using the report number as a proxy.</x:v>
      </x:c>
      <x:c r="F70" s="6" t="n">
        <x:v>25</x:v>
      </x:c>
      <x:c r="G70" s="6" t="str">
        <x:v>NS5-048.csv</x:v>
      </x:c>
      <x:c r="H70" s="6" t="str">
        <x:v>NS5-048.csv</x:v>
      </x:c>
      <x:c r="I70" s="6" t="n">
        <x:v>25</x:v>
      </x:c>
      <x:c r="J70" s="6" t="n">
        <x:v>25</x:v>
      </x:c>
      <x:c r="K70" s="7" t="b">
        <x:v>1</x:v>
      </x:c>
      <x:c r="L70" s="7" t="b">
        <x:v>1</x:v>
      </x:c>
      <x:c r="M70" s="7" t="b">
        <x:v>1</x:v>
      </x:c>
      <x:c r="N70" s="6" t="n">
        <x:v>0</x:v>
      </x:c>
      <x:c r="O70" s="6" t="n">
        <x:v>0</x:v>
      </x:c>
      <x:c r="P70" s="6" t="n">
        <x:v>0</x:v>
      </x:c>
      <x:c r="Q70" s="6" t="str">
        <x:v>{}</x:v>
      </x:c>
      <x:c r="R70" s="6" t="n">
        <x:v>0</x:v>
      </x:c>
      <x:c r="S70" s="6" t="str">
        <x:v>Pass</x:v>
      </x:c>
      <x:c r="T70" s="6" t="str">
        <x:v>Pass</x:v>
      </x:c>
      <x:c r="U70" s="6" t="str">
        <x:v>Pass</x:v>
      </x:c>
      <x:c r="V70" s="6" t="str">
        <x:v>Pass</x:v>
      </x:c>
      <x:c r="W70" s="6" t="str">
        <x:v>Pass</x:v>
      </x:c>
      <x:c r="X70" s="6" t="str">
        <x:v>Pass</x:v>
      </x:c>
      <x:c r="Y70" s="7" t="b">
        <x:v>0</x:v>
      </x:c>
      <x:c r="Z70" s="6" t="str">
        <x:v>Independent execution reproduced all 25 supplied rows, columns and values (comparison ignores row order and tolerates six-decimal floating-point representation differences). No returned sentinel values were found.</x:v>
      </x:c>
    </x:row>
    <x:row r="71" ht="90" customHeight="1">
      <x:c r="A71" s="6" t="str">
        <x:v>NS5-050</x:v>
      </x:c>
      <x:c r="B71" s="6" t="str">
        <x:v>NS</x:v>
      </x:c>
      <x:c r="C71" s="6" t="str">
        <x:v>python</x:v>
      </x:c>
      <x:c r="D71" s="6" t="str">
        <x:v>medium</x:v>
      </x:c>
      <x:c r="E71" s="6" t="str">
        <x:v>Prepare data comparing gold across the four sample media for a single chart.</x:v>
      </x:c>
      <x:c r="F71" s="6" t="n">
        <x:v>4</x:v>
      </x:c>
      <x:c r="G71" s="6" t="str">
        <x:v>NS5-050.csv</x:v>
      </x:c>
      <x:c r="H71" s="6" t="str">
        <x:v>NS5-050.csv</x:v>
      </x:c>
      <x:c r="I71" s="6" t="n">
        <x:v>4</x:v>
      </x:c>
      <x:c r="J71" s="6" t="n">
        <x:v>4</x:v>
      </x:c>
      <x:c r="K71" s="7" t="b">
        <x:v>1</x:v>
      </x:c>
      <x:c r="L71" s="7" t="b">
        <x:v>1</x:v>
      </x:c>
      <x:c r="M71" s="7" t="b">
        <x:v>1</x:v>
      </x:c>
      <x:c r="N71" s="6" t="n">
        <x:v>0</x:v>
      </x:c>
      <x:c r="O71" s="6" t="n">
        <x:v>0</x:v>
      </x:c>
      <x:c r="P71" s="6" t="n">
        <x:v>0</x:v>
      </x:c>
      <x:c r="Q71" s="6" t="str">
        <x:v>{}</x:v>
      </x:c>
      <x:c r="R71" s="6" t="n">
        <x:v>0</x:v>
      </x:c>
      <x:c r="S71" s="6" t="str">
        <x:v>Pass</x:v>
      </x:c>
      <x:c r="T71" s="6" t="str">
        <x:v>Pass</x:v>
      </x:c>
      <x:c r="U71" s="6" t="str">
        <x:v>Pass</x:v>
      </x:c>
      <x:c r="V71" s="6" t="str">
        <x:v>Pass</x:v>
      </x:c>
      <x:c r="W71" s="6" t="str">
        <x:v>Pass</x:v>
      </x:c>
      <x:c r="X71" s="6" t="str">
        <x:v>Pass</x:v>
      </x:c>
      <x:c r="Y71" s="7" t="b">
        <x:v>0</x:v>
      </x:c>
      <x:c r="Z71" s="6" t="str">
        <x:v>Independent execution reproduced all 4 supplied rows, columns and values (comparison ignores row order and tolerates six-decimal floating-point representation differences). No returned sentinel values were found.</x:v>
      </x:c>
    </x:row>
  </x:sheetData>
  <x:conditionalFormatting sqref="X2:X71">
    <x:cfRule type="containsText" dxfId="0" priority="1" operator="containsText" text="Fail"/>
  </x:conditionalFormatting>
  <x:pageMargins left="0.7" right="0.7" top="0.75" bottom="0.75" header="0.3" footer="0.3"/>
  <x:tableParts count="1">
    <x:tablePart xmlns:r="http://schemas.openxmlformats.org/officeDocument/2006/relationships" r:id="R083a0b845e934dab"/>
  </x:tableParts>
</x:worksheet>
</file>