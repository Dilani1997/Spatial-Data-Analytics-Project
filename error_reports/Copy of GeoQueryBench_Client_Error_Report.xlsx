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drawings/drawing3.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dila\Downloads\"/>
    </mc:Choice>
  </mc:AlternateContent>
  <xr:revisionPtr revIDLastSave="0" documentId="8_{9FEF848A-B2E2-42DB-86DE-D616352EFBAF}" xr6:coauthVersionLast="47" xr6:coauthVersionMax="47" xr10:uidLastSave="{00000000-0000-0000-0000-000000000000}"/>
  <bookViews>
    <workbookView xWindow="-110" yWindow="-110" windowWidth="19420" windowHeight="11500" xr2:uid="{00000000-000D-0000-FFFF-FFFF00000000}"/>
  </bookViews>
  <sheets>
    <sheet name="Executive Summary" sheetId="1" r:id="rId1"/>
    <sheet name="Error Register" sheetId="2" r:id="rId2"/>
    <sheet name="Caveats &amp; Gold Defect" sheetId="3" r:id="rId3"/>
    <sheet name="Error Code Detail" sheetId="4" r:id="rId4"/>
    <sheet name="Data Quality Warnings" sheetId="5" r:id="rId5"/>
    <sheet name="Ziyue Review" sheetId="6" r:id="rId6"/>
    <sheet name="Full Validation" sheetId="7" r:id="rId7"/>
    <sheet name="Client Requirements" sheetId="8" r:id="rId8"/>
    <sheet name="Dataset Inventory" sheetId="9" r:id="rId9"/>
    <sheet name="Methodology &amp; Sources" sheetId="10" r:id="rId10"/>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6" l="1"/>
  <c r="B15" i="6"/>
  <c r="B9" i="5"/>
  <c r="B8" i="5"/>
  <c r="B7" i="5"/>
  <c r="B6" i="5"/>
  <c r="K40" i="1"/>
  <c r="K39" i="1"/>
  <c r="D39" i="1"/>
  <c r="C39" i="1"/>
  <c r="B39" i="1"/>
  <c r="K38" i="1"/>
  <c r="D38" i="1"/>
  <c r="C38" i="1"/>
  <c r="B38" i="1"/>
  <c r="K37" i="1"/>
  <c r="D37" i="1"/>
  <c r="C37" i="1"/>
  <c r="B37" i="1"/>
  <c r="K16" i="1"/>
  <c r="K15" i="1"/>
  <c r="K14" i="1"/>
  <c r="K13" i="1"/>
  <c r="K12" i="1"/>
  <c r="E12" i="1"/>
  <c r="D12" i="1"/>
  <c r="C12" i="1"/>
  <c r="B12" i="1"/>
  <c r="M6" i="1"/>
  <c r="I6" i="1"/>
  <c r="E6" i="1"/>
  <c r="A6" i="1"/>
</calcChain>
</file>

<file path=xl/sharedStrings.xml><?xml version="1.0" encoding="utf-8"?>
<sst xmlns="http://schemas.openxmlformats.org/spreadsheetml/2006/main" count="4245" uniqueCount="1405">
  <si>
    <t>GeoQueryBench Client Error Report</t>
  </si>
  <si>
    <t>Group 7 • complete 233-query execution audit • generated 2026-09-08 • errors, caveats, data-quality warnings and visual summaries</t>
  </si>
  <si>
    <t>TOTAL CASES</t>
  </si>
  <si>
    <t>EXECUTION COMPLETED</t>
  </si>
  <si>
    <t>SEMANTICALLY VALID</t>
  </si>
  <si>
    <t>NEEDS CORRECTION</t>
  </si>
  <si>
    <t>All cases</t>
  </si>
  <si>
    <t>Verified</t>
  </si>
  <si>
    <t>Verified with caveat</t>
  </si>
  <si>
    <t>Gold defect</t>
  </si>
  <si>
    <t>Needs correction</t>
  </si>
  <si>
    <t>Task family</t>
  </si>
  <si>
    <t>Cases</t>
  </si>
  <si>
    <t>Count</t>
  </si>
  <si>
    <t>sql</t>
  </si>
  <si>
    <t>geopandas</t>
  </si>
  <si>
    <t>python</t>
  </si>
  <si>
    <t>viz</t>
  </si>
  <si>
    <t>refusal</t>
  </si>
  <si>
    <t>Scenario</t>
  </si>
  <si>
    <t>Valid tie caveat</t>
  </si>
  <si>
    <t>Correction</t>
  </si>
  <si>
    <t>Documented data warning</t>
  </si>
  <si>
    <t>NS</t>
  </si>
  <si>
    <t>Sentinel / invalid value</t>
  </si>
  <si>
    <t>SS</t>
  </si>
  <si>
    <t>Extreme / unit review</t>
  </si>
  <si>
    <t>CD</t>
  </si>
  <si>
    <t>Missing identifier / null</t>
  </si>
  <si>
    <t>Coverage / lineage</t>
  </si>
  <si>
    <t>CLIENT CONCLUSION</t>
  </si>
  <si>
    <t>All 233 benchmark cases completed in the validation harness. After reconciling Ziyue's independent review, 229 are semantically valid: 222 verified directly, six valid tied alternatives, and NS3-014 whose official gold CSV is defective. Four supplied queries require correction: SS5-003, CD2-001 and CD2-010 need deterministic tie policies; CD4-013 must enforce its stated map extent. Eighteen documented sentinel, null, extreme and coverage observations are reported separately as source-data warnings unless they invalidate the requested calculation.</t>
  </si>
  <si>
    <t>Colour key: GREEN = verified | AMBER = valid with caveat or data warning | BLUE = official gold artifact defect | RED = supplied query requires correction. No replacement query code has been generated.</t>
  </si>
  <si>
    <t>Red Register — Supplied Queries Requiring Correction</t>
  </si>
  <si>
    <t>Four queries execute but fail semantic validation: three discard unresolved ties and one does not enforce the requested map extent.</t>
  </si>
  <si>
    <t>QID</t>
  </si>
  <si>
    <t>Task</t>
  </si>
  <si>
    <t>English question</t>
  </si>
  <si>
    <t>Execution</t>
  </si>
  <si>
    <t>Runtime (s)</t>
  </si>
  <si>
    <t>Final verdict</t>
  </si>
  <si>
    <t>Actual output</t>
  </si>
  <si>
    <t>Gold output</t>
  </si>
  <si>
    <t>Decisive error evidence</t>
  </si>
  <si>
    <t>Required client decision / action</t>
  </si>
  <si>
    <t>Resolution status</t>
  </si>
  <si>
    <t>SS5-003</t>
  </si>
  <si>
    <t>Among inclined holes (first-survey dip shallower than -80) in the Kalgoorlie-Kambalda region, what are the 5 most common drilling azimuths binned to 10 degrees? Normalize azimuths to 0-360 first.</t>
  </si>
  <si>
    <t>PASS</t>
  </si>
  <si>
    <t>Needs query correction — nondeterministic first-survey tie</t>
  </si>
  <si>
    <t>5 rows × 2 cols</t>
  </si>
  <si>
    <t>8,030 holes have multiple survey rows at minimum depth; 6,578 have conflicting azimuths and 7,025 have conflicting dips. ROW_NUMBER ordered only by depth_m can select different first directions.</t>
  </si>
  <si>
    <t>Agree a first-survey tie policy, then add a stable survey identifier/timestamp to ORDER BY or aggregate the duplicate minimum-depth surveys.</t>
  </si>
  <si>
    <t>Open — client policy required</t>
  </si>
  <si>
    <t>CD2-001</t>
  </si>
  <si>
    <t>At soil gold anomalies (above 100 ppb), does the nearest drill hole within 1 km also show anomalous gold (maximum downhole grade at least 1 g/t)? Report how many anomalies agree, disagree, or have no hole within 1 km.</t>
  </si>
  <si>
    <t>Needs query correction — equidistant-nearest verdict ambiguity</t>
  </si>
  <si>
    <t>3 rows × 2 cols</t>
  </si>
  <si>
    <t>Of 162,481 anomalous soil samples, 19,503 have multiple equidistant nearest holes and 229 ties cross the 1 g/t drillhole-gold threshold. drop_duplicates('uid') can change the final answer.</t>
  </si>
  <si>
    <t>Define how equidistant holes are handled: report ambiguity, retain all ties, or apply a client-approved deterministic rule before deriving the verdict.</t>
  </si>
  <si>
    <t>CD2-010</t>
  </si>
  <si>
    <t>For the 10 holes with the highest maximum downhole copper, what is the nearest rock chip sample's copper value within 2 km (if any)?</t>
  </si>
  <si>
    <t>Needs query correction — equidistant-nearest value ambiguity</t>
  </si>
  <si>
    <t>10 rows × 4 cols</t>
  </si>
  <si>
    <t>At least one selected hole has two equally near rock-chip samples at 118.7336 m with Cu values 100.0 and 1,000,000.0. drop_duplicates('hole_ref') arbitrarily chooses one.</t>
  </si>
  <si>
    <t>Retain/report all equidistant samples or apply a documented deterministic rule (for example stable UID or highest Cu) before selecting one record.</t>
  </si>
  <si>
    <t>CD4-013</t>
  </si>
  <si>
    <t>Regional context map: Eastern Goldfields Superterrane outline, operating gold mines, and towns with population over 1000 labelled by name (lon 119-125, lat -33 to -27).</t>
  </si>
  <si>
    <t>Needs correction — requested map extent is not enforced</t>
  </si>
  <si>
    <t>519 × 840 px; axes approx. 119.914–123.818 lon, -32.841–-25.378 lat</t>
  </si>
  <si>
    <t>518 × 836 px; reproduces the same extent defect</t>
  </si>
  <si>
    <t>The data selection, 116 Eastern Goldfields polygons, three operating gold mines, two towns, labels and legend were reproduced. However, .cx only selects intersecting features; the supplied code neither clips those geometries nor calls set_xlim/set_ylim. The requested extent is (119, 125, -33, -27), while the observed plot extent is approximately (119.914, 123.818, -32.841, -25.378). Ziyue test: test_viz_questions.py::test_cd4_013_gold_result (pytest XFAIL).</t>
  </si>
  <si>
    <t>Confirm that the stated extent is mandatory, then enforce the client-approved axis limits or clipping rule in a future correction. This report preserves the supplied code and does not generate replacement code.</t>
  </si>
  <si>
    <t>Open — code correction required</t>
  </si>
  <si>
    <t>Required action: the client/domain owner must agree the tie policies for SS5-003, CD2-001 and CD2-010, and confirm the mandatory extent for CD4-013 before its plotting logic is corrected. This report preserves the supplied code and does not invent replacement code.</t>
  </si>
  <si>
    <t>Amber Caveats and Official Gold Defect</t>
  </si>
  <si>
    <t>Six outputs are defensible tied alternatives; one query is correct but its official gold CSV is empty/stale.</t>
  </si>
  <si>
    <t>Category</t>
  </si>
  <si>
    <t>Evidence</t>
  </si>
  <si>
    <t>Recommended action</t>
  </si>
  <si>
    <t>NS3-014</t>
  </si>
  <si>
    <t>Verified — gold defect</t>
  </si>
  <si>
    <t>In the Leonora box (lon 121.1-121.6, lat -29.15 to -28.65), list rock chip samples with gold above 0.5 ppm.</t>
  </si>
  <si>
    <t>143 rows × 2 cols</t>
  </si>
  <si>
    <t>0 rows × 2 cols</t>
  </si>
  <si>
    <t>Independent recount returned 143 qualifying rows and 143 distinct samples (Au range 0.512–72.1 ppm), while the official gold CSV is empty. The rerun answers the stated question; the canonical artifact is wrong or stale.</t>
  </si>
  <si>
    <t>Regenerate and replace the official NS3-014 gold CSV from the supplied query output.</t>
  </si>
  <si>
    <t>SS1-015</t>
  </si>
  <si>
    <t>Data QC: find hole names that appear more than once within the same region. Show the 10 most duplicated.</t>
  </si>
  <si>
    <t>10 rows × 3 cols</t>
  </si>
  <si>
    <t>The boundary count is tied (n_dup = 2), and the supplied top-10 query has no stable secondary ordering. The rerun therefore selected a different but equally valid tied row.</t>
  </si>
  <si>
    <t>If exact membership must be reproducible, add a stable secondary ORDER BY key after n_dup DESC.</t>
  </si>
  <si>
    <t>SS2-001</t>
  </si>
  <si>
    <t>In the Kalgoorlie-Kambalda region, which 10 drill holes have the highest single-interval gold grade? Report hole ID, hole name and the peak grade.</t>
  </si>
  <si>
    <t>All compared top values are tied at the sentinel-like peak 999909.0; LIMIT 10 has no stable secondary ordering. The rerun selected a different valid tied set.</t>
  </si>
  <si>
    <t>Exclude/handle the 999909 sentinel if appropriate and add a stable secondary ORDER BY key.</t>
  </si>
  <si>
    <t>SS2-010</t>
  </si>
  <si>
    <t>In the Leonora-Murrin region, which 10 holes hit nickel above 1% at the shallowest depth? Report the depth to the top of the first such interval.</t>
  </si>
  <si>
    <t>Multiple qualifying nickel intervals share the minimum start depth of 0.0. The query does not break that tie deterministically.</t>
  </si>
  <si>
    <t>Add a documented tie rule, such as ORDER BY from_m, hole_ref, interval identifier.</t>
  </si>
  <si>
    <t>SS3-002</t>
  </si>
  <si>
    <t>In the Ravensthorpe region, compute each hole's length-weighted average nickel grade over its measured intervals. List the top 10 holes with at least 50 m of measured length.</t>
  </si>
  <si>
    <t>The final included rank is tied at weighted average nickel 11037.3. The query has no secondary ordering for tied averages.</t>
  </si>
  <si>
    <t>Add a stable secondary ORDER BY key if exact top-10 membership is required.</t>
  </si>
  <si>
    <t>SS3-010</t>
  </si>
  <si>
    <t>In the Ravensthorpe region, compute each hole's assay coverage ratio (summed interval length / hole depth). Show the 10 least-covered holes that have some assays and a recorded depth over 50 m.</t>
  </si>
  <si>
    <t>Rows at the selection boundary share coverage 0.010. The supplied query has no deterministic tie-breaker.</t>
  </si>
  <si>
    <t>Add a stable secondary ORDER BY key after coverage ASC.</t>
  </si>
  <si>
    <t>SS6-012</t>
  </si>
  <si>
    <t>Small multiples: downhole gold profiles of the 3 highest-peak-grade holes in the Kalgoorlie-Kambalda region that have at least 50 assay intervals, sharing the grade axis.</t>
  </si>
  <si>
    <t>1,017 × 911 px</t>
  </si>
  <si>
    <t>1,014 × 907 px</t>
  </si>
  <si>
    <t>The top 20 holes all have peak grade 999909.0, and LIMIT 3 has no secondary ordering. The rerun chart therefore plots different tied holes while preserving the requested chart logic.</t>
  </si>
  <si>
    <t>Handle the 999909 sentinel if appropriate and add a stable hole identifier tie-breaker before LIMIT 3.</t>
  </si>
  <si>
    <t>Interpretation: tied alternatives are valid answers but need stable secondary ordering if byte-for-byte reproducibility is required. NS3-014 should not be treated as a query failure: the rerun independently returned 143 valid rows while the official gold CSV contains zero rows.</t>
  </si>
  <si>
    <t>Original Code for the Four Correction Cases</t>
  </si>
  <si>
    <t>Audit appendix. The client-supplied code is preserved verbatim; the report identifies the policy decision needed before any correction is implemented.</t>
  </si>
  <si>
    <t>SS5-003 • SQL • NEEDS CORRECTION</t>
  </si>
  <si>
    <t>Question</t>
  </si>
  <si>
    <t>Supplied code</t>
  </si>
  <si>
    <t>WITH first_sv AS (
  SELECT hole_id, dip, azimuth
  FROM dh_survey
  WHERE dip IS NOT NULL AND azimuth IS NOT NULL
  QUALIFY row_number() OVER (PARTITION BY hole_id ORDER BY depth_m) = 1
)
SELECT CAST(floor(((f.azimuth % 360) + 360) % 360 / 10) * 10 AS INT) AS azi_bin_deg,
       count(*) AS n_holes
FROM first_sv f
JOIN collar c ON f.hole_id = c.hole_id
WHERE c.region = 'R1_kalgoorlie_kambalda' AND f.dip &gt; -80
GROUP BY azi_bin_deg
ORDER BY n_holes DESC
LIMIT 5;</t>
  </si>
  <si>
    <t>Error evidence</t>
  </si>
  <si>
    <t>Client decision / action</t>
  </si>
  <si>
    <t>Benchmark note</t>
  </si>
  <si>
    <t>join +1、窗口 +1、方位归一化惯例 +1 = 3 → hard。trap:azimuth 实测值含 24429°、负值等未归一化脏数据,须 ((azi%360)+360)%360;直接分箱会产生 &gt;360 的假桶。</t>
  </si>
  <si>
    <t>CD2-001 • GEOPANDAS • NEEDS CORRECTION</t>
  </si>
  <si>
    <t>import numpy as np
import pandas as pd
s = pd.read_parquet(DB / 'B_surface' / 'surface_sample.parquet',
                    columns=['uid', 'medium', 'longitude', 'latitude'])
a = pd.read_parquet(DB / 'B_surface' / 'surface_assay.parquet', columns=['uid', 'au_ppm'])
soil = s[s.medium == 'soil'].merge(a, on='uid')
anom = soil[soil.au_ppm &gt; 0.1]                              # 100 ppb = 0.1 ppm
g = gpd.GeoDataFrame(anom, geometry=gpd.points_from_xy(anom.longitude, anom.latitude),
                     crs='EPSG:7844').to_crs(epsg=9473)
maxg = gpd.read_parquet(DB / 'B_surface' / 'drillhole_maxgrade.parquet',
                        columns=['au_ppm', 'geometry'])           .rename(columns={'au_ppm': 'hole_max_au'}).to_crs(epsg=9473)
near = gpd.sjoin_nearest(g, maxg, max_distance=1000, distance_col='d')           .drop_duplicates('uid')
merged = g[['uid']].merge(near[['uid', 'hole_max_au']], on='uid', how='left')
cond = [merged.hole_max_au.isna(), merged.hole_max_au &gt;= 1.0]
merged['verdict'] = np.select(cond, ['no_hole_within_1km', 'both_anomalous'],
                              default='surface_only')
result = merged.groupby('verdict').size().reset_index(name='n')</t>
  </si>
  <si>
    <t>多表 +1、空间 nearest +1、CRS +1、单位换算(ppb→ppm,g/t=ppm)+1 = 4 → hard。§5-3 自动比对 vs 人工分歧的典型题;左连接保留无孔异常是关键。</t>
  </si>
  <si>
    <t>CD2-010 • GEOPANDAS • NEEDS CORRECTION</t>
  </si>
  <si>
    <t>import pandas as pd
maxg = gpd.read_parquet(DB / 'B_surface' / 'drillhole_maxgrade.parquet',
                        columns=['hole_ref', 'cu_ppm', 'geometry'])
top = maxg[maxg.cu_ppm &gt;= 0].nlargest(10, 'cu_ppm').to_crs(epsg=9473)           .rename(columns={'cu_ppm': 'hole_cu_ppm'})
s = pd.read_parquet(DB / 'B_surface' / 'surface_sample.parquet',
                    columns=['uid', 'medium', 'longitude', 'latitude'])
a = pd.read_parquet(DB / 'B_surface' / 'surface_assay.parquet', columns=['uid', 'cu_ppm'])
rc = s[s.medium == 'rock_chip'].merge(a[a.cu_ppm &gt;= 0], on='uid')
g = gpd.GeoDataFrame(rc, geometry=gpd.points_from_xy(rc.longitude, rc.latitude),
                     crs='EPSG:7844').to_crs(epsg=9473)
near = gpd.sjoin_nearest(top, g[['cu_ppm', 'geometry']],
                         max_distance=2000, distance_col='dist_m')
near = near.drop_duplicates('hole_ref')
out = top[['hole_ref', 'hole_cu_ppm']].merge(
    near[['hole_ref', 'cu_ppm', 'dist_m']], on='hole_ref', how='left')     .rename(columns={'cu_ppm': 'nearest_rockchip_cu_ppm'})
result = out.sort_values('hole_cu_ppm', ascending=False).round(1)</t>
  </si>
  <si>
    <t>反向 nearest +1、max_distance 无匹配保留(LEFT)+1、多表 +1、CRS +1 = 4 → hard。'如有'的语义=无匹配孔也要出现在结果里(NaN)。</t>
  </si>
  <si>
    <t>CD4-013 • VIZ • NEEDS CORRECTION</t>
  </si>
  <si>
    <t>import pandas as pd
BBOX = (119.0, 125.0, -33.0, -27.0)
belts = gpd.read_parquet(DB / 'B_surface' / 'greenstone_belt.parquet',
                         columns=['tect_name', 'geometry'])
egst = belts[belts.tect_name == 'Eastern Goldfields Superterrane']             .cx[BBOX[0]:BBOX[1], BBOX[2]:BBOX[3]]
sites = gpd.read_parquet(DB / 'B_surface' / 'mineral_site.parquet',
                         columns=['commodity_primary', 'site_stage', 'geometry'])
ops = sites[(sites.commodity_primary == 'GOLD') &amp; (sites.site_stage == 'Operating')]           .cx[BBOX[0]:BBOX[1], BBOX[2]:BBOX[3]]
towns = gpd.read_parquet(DB / 'B_surface' / 'townsite.parquet')
big = towns[towns.population &gt; 1000].cx[BBOX[0]:BBOX[1], BBOX[2]:BBOX[3]]
fig, ax = plt.subplots(figsize=(8, 8))
egst.plot(ax=ax, facecolor='honeydew', edgecolor='darkgreen', linewidth=0.5)
ax.scatter(ops.geometry.x, ops.geometry.y, marker='*', s=140, c='gold',
           edgecolors='black', label='operating gold mine')
ax.scatter(big.geometry.x, big.geometry.y, s=25, c='black', label='town &gt; 1000')
for r in big.itertuples():
    ax.annotate(r.name, (r.geometry.x, r.geometry.y), fontsize=7,
                xytext=(4, 4), textcoords='offset points')
ax.set_xlabel('Longitude'); ax.set_ylabel('Latitude')
ax.legend(loc='lower left')
ax.set_title('Eastern Goldfields: greenstones, mines, towns')
ax.set_aspect('equal')
plt.show()</t>
  </si>
  <si>
    <t>三图层+标注 +1、编码值 +1 = 2 → medium。检查清单:[1]镇名标注不遮点 [2]三层图例;区域讲解图的标准形态。</t>
  </si>
  <si>
    <t>Documented Data-Quality Warnings</t>
  </si>
  <si>
    <t>Orange-class issues from the three uploaded reviewer logs. These are source-data or output-usability concerns, not automatically query-code failures.</t>
  </si>
  <si>
    <t>Warning group</t>
  </si>
  <si>
    <t>Interpretation</t>
  </si>
  <si>
    <t>Sentinel and null values are retained as evidence and clearly labelled. They are treated as code errors only when they distort the requested calculation or make a result nondeterministic.</t>
  </si>
  <si>
    <t>Warning Register — 18 documented observations from the supplied reviewer logs; this is not presented as a new exhaustive sentinel scan of all 233 outputs.</t>
  </si>
  <si>
    <t>Issue type</t>
  </si>
  <si>
    <t>Observed issue</t>
  </si>
  <si>
    <t>Query verdict</t>
  </si>
  <si>
    <t>Expert review</t>
  </si>
  <si>
    <t>Recommended treatment</t>
  </si>
  <si>
    <t>Source log</t>
  </si>
  <si>
    <t>CD1-002</t>
  </si>
  <si>
    <t>Sentinel in nearest result</t>
  </si>
  <si>
    <t>Correctly selects the 10 highest valid soil Au samples, projects both soil and drill-hole geometries to EPSG:9473, and finds the nearest drill hole for each sample. The rerun matches the provided gold result. Several nearest holes have hole_max_au_ppm = -9999, which is confirmed in drillhole_maxgrade and indicates missing or invalid recorded Au grade for those nearest holes. These holes should not be filtered before the nearest-neighbour search because doing so would change the question to “nearest hole with valid Au data”. This is therefore recorded as a data-quality concern rather than a gold-code error.</t>
  </si>
  <si>
    <t>Query valid with data note</t>
  </si>
  <si>
    <t>Yes</t>
  </si>
  <si>
    <t>Preserve the query result, clearly label invalid/missing/extreme source values, and request domain review where indicated.</t>
  </si>
  <si>
    <t>Thomas_validation_log (1).xlsx</t>
  </si>
  <si>
    <t>Tie ambiguity + sentinel</t>
  </si>
  <si>
    <t>The supplied gold code is executable, but the rerun does not reproduce the provided verdict counts. Diagnostic testing found 19,503 soil anomalies with multiple equally-nearest drill holes, including 229 cases where tied holes fall on opposite sides of the 1 ppm anomaly threshold. The current drop_duplicates('uid') therefore selects an arbitrary tied nearest hole and can change the final classification. In addition, some tied nearest holes have sentinel Au values such as -9999, which are currently classified as surface_only rather than treated as missing grade data. A deterministic tie policy and treatment of missing drill-hole Au grades should be confirmed with the client/domain expert.</t>
  </si>
  <si>
    <t>Agree a deterministic equidistant-neighbour policy and confirm treatment of missing drill-hole grades.</t>
  </si>
  <si>
    <t>CD2-004</t>
  </si>
  <si>
    <t>Invalid grade in nearest result</t>
  </si>
  <si>
    <t>Gold code correctly selects the ten strongest non-negative soil Au results, converts surface Au from ppm to ppb, uses the equivalence 1 ppm Au = 1 g/t for downhole grade, projects to EPSG:9473 and finds the nearest drill hole with distance in metres. The ten-row result matched CD2-004.csv after nearest-neighbour tie deduplication. Seven nearest holes have hole_max_au_gpt = -9999, indicating missing or invalid recorded Au rather than a real grade. These holes should not be removed before the nearest search because that would change the question to the nearest hole with valid Au data, so this is recorded as a data-quality concern rather than a Gold error. Evidence: test_scripts/test_geopandas_questions.py::test_cd2_004_gold_result (pytest PASS).</t>
  </si>
  <si>
    <t>No</t>
  </si>
  <si>
    <t>Keep the nearest-hole selection unchanged and clearly label -9999 as unavailable grade; excluding it would answer a different question.</t>
  </si>
  <si>
    <t>Ziyue_validation_log.csv</t>
  </si>
  <si>
    <t>CD2-008</t>
  </si>
  <si>
    <t>Cross-dataset report coverage</t>
  </si>
  <si>
    <t>Gold SQL correctly performs separate report-level counts in surface_sample and collar while normalising report A75082 to the stored identifier 75082. DuckDB returned 84,668 surface samples and zero drill holes, exactly matching CD2-008.csv. The zero count is retained as a valid query result, while the absence of collar records for a report with extensive surface sampling is recorded as a possible cross-dataset lineage or coverage concern. Evidence: test_scripts/test_sql_questions.py::test_cd2_008_gold_result (pytest PASS).</t>
  </si>
  <si>
    <t>Retain the zero collar count, but confirm report coverage and linkage across the surface and subsurface datasets with the data provider.</t>
  </si>
  <si>
    <t>CD2-013</t>
  </si>
  <si>
    <t>Tie + sentinel observation</t>
  </si>
  <si>
    <t>The rerun differs from the supplied result for one hole_ref, but diagnostic testing confirmed that the sample has two equally-nearest drill holes at exactly the same distance, with identical geometry and the same maximum Au grade of 1.2 g/t. Therefore, the difference is an equivalent nearest-neighbour tie and does not affect the substantive result. Several nearest-hole grades are negative sentinel/detection-limit values, including -9999, so this is recorded as a data-quality concern rather than a gold-code error.</t>
  </si>
  <si>
    <t>CD3-004</t>
  </si>
  <si>
    <t>Extreme exploration values</t>
  </si>
  <si>
    <t>Correctly identifies soil Au anomalies above 100 ppb, projects all spatial layers to EPSG:9473, retains anomalies within 500 m of a mapped fault, and excludes any anomaly with a drill hole within 2 km. The rerun matches the supplied gold result exactly, yielding 5,802 total targets and the same top-10 strongest anomalies. Extremely high soil Au values are retained as a data-quality/domain concern, and expert geological review is recommended for interpretation of the resulting exploration targets.</t>
  </si>
  <si>
    <t>CD3-009</t>
  </si>
  <si>
    <t>Missing/null identifier</t>
  </si>
  <si>
    <t>The spatial and area calculations are correct: pegmatite polygons are projected to EPSG:9473, buffered by 500 m, polygons with nearby drill holes are excluded, and the 10 largest remaining bodies are returned. The rerun matches the supplied gold result and identifies 1,009 undrilled bodies in total. However, the top-10 output does not uniquely identify the pegmatite bodies because unit_name is null for all returned rows and the available peg_id/code identifiers are omitted from the result. This is an output-completeness and data-quality issue rather than a spatial-logic error and should be confirmed with the client.</t>
  </si>
  <si>
    <t>CD3-013</t>
  </si>
  <si>
    <t>Missing/null bore name</t>
  </si>
  <si>
    <t>Correctly filters groundwater records with Au &gt; 100 ng/L, projects groundwater and drill-hole geometries to EPSG:9473, calculates the nearest drilling distance, flags records more than 1 km from drilling, and ranks the least-tested leads first. The rerun matches the supplied gold result exactly. However, bore_name is missing for all 11 returned records, limiting identification of the individual bores; this is recorded as a data-quality/output usability concern rather than a gold-logic error.</t>
  </si>
  <si>
    <t>NS1-002</t>
  </si>
  <si>
    <t>Sentinel value</t>
  </si>
  <si>
    <t>Present: -9999 in as_ppm</t>
  </si>
  <si>
    <t>Pass with note</t>
  </si>
  <si>
    <t>The returned result contains -9999 in as_ppm. The query is logically valid because arsenic was requested without requiring it to be measured, but the sentinel should be displayed as NULL or Missing for clearer evidence.</t>
  </si>
  <si>
    <t>GeoQueryBench_Client_Validation_Summary-Version2 - Dilani.xlsx</t>
  </si>
  <si>
    <t>NS1-009</t>
  </si>
  <si>
    <t>Extreme / possible mixed unit</t>
  </si>
  <si>
    <t>Correctly joins surface_sample and surface_assay, filters shallow-drill samples, and converts the 5% Fe threshold to 50,000 ppm. The rerun produced 286 rows and matched the provided gold result with the required descending ordering. Some fe_ppm values reach approximately 1,000,000 ppm (100%), consistent with the dataset note about possible mixed-unit recording; this is retained as a data-quality concern rather than treated as a gold-code error.</t>
  </si>
  <si>
    <t>NS2-009</t>
  </si>
  <si>
    <t>Sentinel affects aggregate</t>
  </si>
  <si>
    <t>Correctly applies the ≥50-sample HAVING threshold and ranks lithologies by average SiO2, but negative sentinel values (e.g. -9999/-6666) are not excluded and affect the calculated averages.</t>
  </si>
  <si>
    <t>NS4-006</t>
  </si>
  <si>
    <t>Extreme Zn/Pb ratio denominator</t>
  </si>
  <si>
    <t>Gold SQL correctly joins stream-sediment samples to assays, requires non-negative Zn, positive Pb and an unrounded Zn/Pb ratio above 5, and returns the rounded ratio ordered descending. DuckDB returned 29,286 unique samples with no guard violations. Because the ratio is rounded to two decimals, 28,852 rows participate in ties and the minimum displayed ratio is 5.00 even though every unrounded ratio is strictly above 5. The result set matched NS4-006.csv after normalising sample_id and ignoring tied-row order. Very small positive Pb denominators produce extreme ratios up to 120,000 and are recorded as a data-quality concern, not a Gold error. Evidence: test_scripts/test_sql_questions.py::test_ns4_006_gold_result (pytest PASS).</t>
  </si>
  <si>
    <t>Retain the valid result, flag very small positive Pb denominators, and request geological review before interpretation.</t>
  </si>
  <si>
    <t>NS4-012</t>
  </si>
  <si>
    <t>Extreme Ni/Mg ratio denominator</t>
  </si>
  <si>
    <t>Gold SQL correctly joins stream-sediment samples to assays, requires non-negative Ni and positive Mg, computes Ni/Mg, orders the rounded ratio descending and returns the top ten. All denominator and sentinel guards passed, sample IDs were unique, and ratios ranged from 12,000.0004 to 4,571.4288. The ordered output matched NS4-012.csv after normalising sample_id. Extremely small positive Mg measurements drive the large ratios and are recorded as a data-quality concern without invalidating the Gold result. Evidence: test_scripts/test_sql_questions.py::test_ns4_012_gold_result (pytest PASS).</t>
  </si>
  <si>
    <t>Retain the valid result, flag very small positive Mg denominators, and request geological review before interpretation.</t>
  </si>
  <si>
    <t>NS4-014</t>
  </si>
  <si>
    <t>Extreme ratio / denominator</t>
  </si>
  <si>
    <t>Correctly joins surface_sample and surface_assay, converts sulfur from percent to ppm using s_pct * 10000, guards against invalid Cu values and zero/negative sulfur values, and ranks rock-chip samples by the resulting Cu/S ratio. The rerun matched the provided top-10 result and ordering. Some extremely small positive s_pct values produce very large ratios; this is retained as a data-quality/interpretation observation rather than treated as a gold-code error.</t>
  </si>
  <si>
    <t>NS5-005</t>
  </si>
  <si>
    <t>Extreme assay distribution</t>
  </si>
  <si>
    <t>Correctly joins surface samples with Au and As assays, excludes non-positive values for log scaling, and produces a log-log scatter plot for all four sampling media. Small markers and transparency appropriately reduce overplotting for the large dataset. Extreme positive and very small assay values are visible and may warrant geological/data-quality review.</t>
  </si>
  <si>
    <t>NS5-013</t>
  </si>
  <si>
    <t>Sentinel distorts visualisation</t>
  </si>
  <si>
    <t>Gold code does not exclude negative sentinel SiO2 values. There are 1,986 values of -9999 and one value of -6666 among DRCO/OUTC samples. These invalid values severely distort the histogram scale and obscure the intended SiO2 distributions. Gold result requires adjudication.</t>
  </si>
  <si>
    <t>RB-002</t>
  </si>
  <si>
    <t>Sentinel / invalid interval</t>
  </si>
  <si>
    <t>Present: -999 in from_depth_m and to_depth_m (5 rows)</t>
  </si>
  <si>
    <t>Recommended</t>
  </si>
  <si>
    <t>The uploaded result is consistent with the gold SQL and correctly converts 1% sulfur to 10,000 ppm. It contains no -9999 values, but five records have -999 sentinel depths. There are also 1,624 zero-length intervals where from_depth_m equals to_depth_m. These records originate from the source data because the gold query filters only region and sulfur; add from_depth_m &gt;= 0 AND to_depth_m &gt; from_depth_m when a clean interval-only output is required.</t>
  </si>
  <si>
    <t>RB-005</t>
  </si>
  <si>
    <t>Extreme peak-grade values</t>
  </si>
  <si>
    <t>The question is under-specified because neither the target element nor the high-grade threshold is stated. Gold explicitly declares the assumption that high-grade means Au &gt;= 1.0 g/t, then returns one maximum value per drill hole ordered descending. Under that declared assumption, DuckDB returned 103,412 unique holes and matched RB-005.csv after normalising hole_id, ignoring 98,500 tied-order rows and allowing rtol 1e-7 for float32-to-CSV precision. Peak values ranged from 1.0 to 999,909.0 g/t, with 236 rows at 999,909.0; these implausible extremes are recorded as a data-quality concern. This Gold is valid as an explicitly declared interpretation, not as the only possible answer to the ambiguous question. Evidence: test_scripts/test_sql_questions.py::test_rb_005_gold_result (pytest PASS).</t>
  </si>
  <si>
    <t>Record the declared Au &gt;= 1.0 g/t interpretation and investigate the 236 peak values of 999,909 g/t before geological use.</t>
  </si>
  <si>
    <t>Ziyue Code Review — Reconciliation</t>
  </si>
  <si>
    <t>Independent review evidence merged into the final client report. PASS findings confirm existing statuses; the XFAIL and new data observations are classified separately.</t>
  </si>
  <si>
    <t>QUERY REVIEWS</t>
  </si>
  <si>
    <t>QUERY PASSES</t>
  </si>
  <si>
    <t>EXPECTED FAILURE</t>
  </si>
  <si>
    <t>NEW DATA WARNINGS</t>
  </si>
  <si>
    <t>Review disposition</t>
  </si>
  <si>
    <t>Queries</t>
  </si>
  <si>
    <t>XFAIL</t>
  </si>
  <si>
    <t>Finding reconciliation</t>
  </si>
  <si>
    <t>Classification</t>
  </si>
  <si>
    <t>Test result</t>
  </si>
  <si>
    <t>Gold valid</t>
  </si>
  <si>
    <t>Finding</t>
  </si>
  <si>
    <t>Report treatment</t>
  </si>
  <si>
    <t>Query-code defect</t>
  </si>
  <si>
    <t>Requested map extent was not enforced; observed latitude extends to approximately -25.378 instead of stopping at -27.</t>
  </si>
  <si>
    <t>Added to the red correction register and original-code appendix.</t>
  </si>
  <si>
    <t>Data-quality warning</t>
  </si>
  <si>
    <t>Added to the orange data-quality warning register.</t>
  </si>
  <si>
    <t>CD4-001</t>
  </si>
  <si>
    <t>Secondary confirmation</t>
  </si>
  <si>
    <t>Independent secondary review reproduced the supplied output and semantics.</t>
  </si>
  <si>
    <t>No status change; retained as verified.</t>
  </si>
  <si>
    <t>RB-008</t>
  </si>
  <si>
    <t>Evidence scope: the archive records a saved historical run (46 query PASS, one CD4-013 XFAIL, plus four helper PASS tests). The report independently checked the recorded logic and reconciled it against the completed 233-query audit; it does not misrepresent the archived run as a new execution today.</t>
  </si>
  <si>
    <t>GeoQueryBench — Complete 233-Query Validation Register</t>
  </si>
  <si>
    <t>Authoritative runtime and semantic audit. Filter Final category or Final verdict to isolate exact matches, caveats, gold defects and correction items.</t>
  </si>
  <si>
    <t>Position</t>
  </si>
  <si>
    <t>Question type</t>
  </si>
  <si>
    <t>Difficulty</t>
  </si>
  <si>
    <t>Robustness</t>
  </si>
  <si>
    <t>Chinese question</t>
  </si>
  <si>
    <t>Final category</t>
  </si>
  <si>
    <t>Confidence</t>
  </si>
  <si>
    <t>NS1-001</t>
  </si>
  <si>
    <t>attribute filter &amp; lookup</t>
  </si>
  <si>
    <t>easy</t>
  </si>
  <si>
    <t>Which rock chip samples have copper above 1000 ppm? List the sample ID, copper and zinc values.</t>
  </si>
  <si>
    <t>哪些岩屑(rock chip)样品的铜含量超过 1000 ppm?列出样品编号、铜和锌的值。</t>
  </si>
  <si>
    <t>Verified — exact canonical match</t>
  </si>
  <si>
    <t>High</t>
  </si>
  <si>
    <t>8,498 rows × 3 cols</t>
  </si>
  <si>
    <t>Execution succeeded; rerun output (8,498 rows × 3 cols) exactly matches the official gold artifact (8,498 rows × 3 cols).</t>
  </si>
  <si>
    <t>No action required.</t>
  </si>
  <si>
    <t>medium</t>
  </si>
  <si>
    <t>List all soil samples with gold above 100 ppb, showing sample ID, gold value and arsenic value.</t>
  </si>
  <si>
    <t>列出金含量超过 100 ppb 的所有土壤样品,给出样品编号、金值和砷值。</t>
  </si>
  <si>
    <t>Verified — same rows/values; order only</t>
  </si>
  <si>
    <t>162,481 rows × 3 cols</t>
  </si>
  <si>
    <t>Execution succeeded; rerun and gold contain the same rows and values (162,481 rows × 3 cols); only row ordering differs.</t>
  </si>
  <si>
    <t>No action required unless a stable presentation order is required; then add an explicit final ORDER BY.</t>
  </si>
  <si>
    <t>NS1-003</t>
  </si>
  <si>
    <t>From the GSWA WACHEM reference dataset, list the sample ID and lithology name of samples with SiO2 above 70 wt%.</t>
  </si>
  <si>
    <t>在 GSWA WACHEM 参考数据集中,列出 SiO2 含量高于 70 wt% 的样品编号和岩性名称。</t>
  </si>
  <si>
    <t>17,887 rows × 3 cols</t>
  </si>
  <si>
    <t>Execution succeeded; rerun output (17,887 rows × 3 cols) exactly matches the official gold artifact (17,887 rows × 3 cols).</t>
  </si>
  <si>
    <t>NS1-004</t>
  </si>
  <si>
    <t>hard</t>
  </si>
  <si>
    <t>List stream sediment samples whose gold value is below 5 ppb (at or near detection limit), with sample ID and gold value.</t>
  </si>
  <si>
    <t>列出金含量低于 5 ppb(接近检出限)的水系沉积物样品,给出样品编号和金值。</t>
  </si>
  <si>
    <t>90,737 rows × 2 cols</t>
  </si>
  <si>
    <t>Execution succeeded; rerun and gold contain the same rows and values (90,737 rows × 2 cols); only row ordering differs.</t>
  </si>
  <si>
    <t>NS1-005</t>
  </si>
  <si>
    <t>Find samples where arsenic exceeds 50 ppm and antimony exceeds 5 ppm at the same time (As-Sb pathfinder screen). Report sample ID, medium and both values.</t>
  </si>
  <si>
    <t>找出砷超过 50 ppm 且锑同时超过 5 ppm 的样品(As-Sb 指示元素组合筛查),给出样品编号、采样介质和两个元素的值。</t>
  </si>
  <si>
    <t>35,410 rows × 4 cols</t>
  </si>
  <si>
    <t>Execution succeeded; rerun output (35,410 rows × 4 cols) exactly matches the official gold artifact (35,410 rows × 4 cols).</t>
  </si>
  <si>
    <t>NS1-006</t>
  </si>
  <si>
    <t>Find rock chip samples with both silver above 10 ppm and lead above 1000 ppm (Ag-Pb vein signature). List sample ID and both values.</t>
  </si>
  <si>
    <t>找出银超过 10 ppm 且铅超过 1000 ppm 的岩屑样品(Ag-Pb 脉型特征),列出样品编号和两个值。</t>
  </si>
  <si>
    <t>1,017 rows × 3 cols</t>
  </si>
  <si>
    <t>Execution succeeded; rerun output (1,017 rows × 3 cols) exactly matches the official gold artifact (1,017 rows × 3 cols).</t>
  </si>
  <si>
    <t>NS1-007</t>
  </si>
  <si>
    <t>How many samples of each medium came from WAMEX report A75082?</t>
  </si>
  <si>
    <t>WAMEX 报告 A75082 贡献了各采样介质多少个样品?</t>
  </si>
  <si>
    <t>4 rows × 2 cols</t>
  </si>
  <si>
    <t>Execution succeeded; rerun output (4 rows × 2 cols) exactly matches the official gold artifact (4 rows × 2 cols).</t>
  </si>
  <si>
    <t>NS1-008</t>
  </si>
  <si>
    <t>In the WACHEM dataset, list drill-core samples (sample type code DRCO) with chromium above 1000 ppm.</t>
  </si>
  <si>
    <t>在 WACHEM 数据集中,列出铬超过 1000 ppm 的钻孔岩心样品(样品类型编码 DRCO)。</t>
  </si>
  <si>
    <t>1,158 rows × 3 cols</t>
  </si>
  <si>
    <t>Execution succeeded; rerun output (1,158 rows × 3 cols) exactly matches the official gold artifact (1,158 rows × 3 cols).</t>
  </si>
  <si>
    <t>List shallow-drill samples with iron above 5%, showing sample ID and Fe value in ppm.</t>
  </si>
  <si>
    <t>列出铁含量超过 5% 的浅钻样品,给出样品编号和以 ppm 计的 Fe 值。</t>
  </si>
  <si>
    <t>286 rows × 2 cols</t>
  </si>
  <si>
    <t>Execution succeeded; rerun output (286 rows × 2 cols) exactly matches the official gold artifact (286 rows × 2 cols).</t>
  </si>
  <si>
    <t>NS1-010</t>
  </si>
  <si>
    <t>Which groundwater bores have acidic water (pH below 4)? List bore name, pH and TDS.</t>
  </si>
  <si>
    <t>哪些地下水钻孔的水呈酸性(pH 低于 4)?列出孔名、pH 和 TDS。</t>
  </si>
  <si>
    <t>855 rows × 3 cols</t>
  </si>
  <si>
    <t>Execution succeeded; rerun output (855 rows × 3 cols) exactly matches the official gold artifact (855 rows × 3 cols).</t>
  </si>
  <si>
    <t>NS1-011</t>
  </si>
  <si>
    <t>List groundwater analyses with gold above 100 ng/L, showing bore name and the gold value. Note the unit.</t>
  </si>
  <si>
    <t>列出金含量超过 100 ng/L 的地下水分析,给出孔名和金值。注意单位。</t>
  </si>
  <si>
    <t>11 rows × 2 cols</t>
  </si>
  <si>
    <t>Execution succeeded; rerun output (11 rows × 2 cols) exactly matches the official gold artifact (11 rows × 2 cols).</t>
  </si>
  <si>
    <t>NS1-012</t>
  </si>
  <si>
    <t>How many WAROX field observations record komatiite as the rock name? List 10 examples with site ID and geologist.</t>
  </si>
  <si>
    <t>WAROX 野外观测中有多少条把岩石名记录为科马提岩(komatiite)?列出 10 条示例(站点号、地质员)。</t>
  </si>
  <si>
    <t>Execution succeeded; rerun output (10 rows × 4 cols) exactly matches the official gold artifact (10 rows × 4 cols).</t>
  </si>
  <si>
    <t>NS1-013</t>
  </si>
  <si>
    <t>Find stream sediment samples with tungsten above 20 ppm and tin above 10 ppm at the same time (W-Sn signature).</t>
  </si>
  <si>
    <t>找出钨超过 20 ppm 且锡同时超过 10 ppm 的水系沉积物样品(W-Sn 特征)。</t>
  </si>
  <si>
    <t>69 rows × 3 cols</t>
  </si>
  <si>
    <t>Execution succeeded; rerun and gold contain the same rows and values (69 rows × 3 cols); only row ordering differs.</t>
  </si>
  <si>
    <t>NS1-014</t>
  </si>
  <si>
    <t>How many samples of each medium are composite samples (have a composite sample ID), and what share of the medium is that?</t>
  </si>
  <si>
    <t>各采样介质中有多少样品是组合样(有组合样编号)?各占该介质多大比例?</t>
  </si>
  <si>
    <t>4 rows × 4 cols</t>
  </si>
  <si>
    <t>Execution succeeded; rerun and gold contain the same rows and values (4 rows × 4 cols); only row ordering differs.</t>
  </si>
  <si>
    <t>NS1-015</t>
  </si>
  <si>
    <t>List currently operating mine sites whose primary commodity is gold, with site title and project title.</t>
  </si>
  <si>
    <t>列出正在运营、主矿种为金的矿山点,给出矿点名称和项目名称。</t>
  </si>
  <si>
    <t>19 rows × 3 cols</t>
  </si>
  <si>
    <t>Execution succeeded; rerun output (19 rows × 3 cols) exactly matches the official gold artifact (19 rows × 3 cols).</t>
  </si>
  <si>
    <t>NS2-001</t>
  </si>
  <si>
    <t>aggregation &amp; statistics</t>
  </si>
  <si>
    <t>What is the median arsenic value for each sampling medium?</t>
  </si>
  <si>
    <t>按采样介质统计砷含量的中位数。</t>
  </si>
  <si>
    <t>4 rows × 3 cols</t>
  </si>
  <si>
    <t>Execution succeeded; rerun and gold contain the same rows and values (4 rows × 3 cols); only row ordering differs.</t>
  </si>
  <si>
    <t>NS2-002</t>
  </si>
  <si>
    <t>Which soil samples are gold-anomalous, using the 95th percentile of measured soil gold as the anomaly threshold? Report sample ID and gold value.</t>
  </si>
  <si>
    <t>以实测土壤金值的 95 分位数作为异常阈值,哪些土壤样品是金异常?给出样品编号和金值。</t>
  </si>
  <si>
    <t>183,412 rows × 2 cols</t>
  </si>
  <si>
    <t>Execution succeeded; rerun and gold contain the same rows and values (183,412 rows × 2 cols); only row ordering differs.</t>
  </si>
  <si>
    <t>NS2-003</t>
  </si>
  <si>
    <t>For each sampling medium, how many samples have a valid measured gold value, and what fraction of that medium's samples does this represent?</t>
  </si>
  <si>
    <t>每种采样介质中有多少样品具有有效实测金值?各占该介质样品总数的多大比例?</t>
  </si>
  <si>
    <t>Execution succeeded; rerun output (4 rows × 4 cols) exactly matches the official gold artifact (4 rows × 4 cols).</t>
  </si>
  <si>
    <t>NS2-004</t>
  </si>
  <si>
    <t>Define copper anomalies in stream sediments as values above mean + 2 standard deviations (computed on measured values). List the anomalous samples with their copper values.</t>
  </si>
  <si>
    <t>将水系沉积物中铜异常定义为高于 均值+2倍标准差(基于有效实测值计算),列出异常样品及其铜值。</t>
  </si>
  <si>
    <t>516 rows × 2 cols</t>
  </si>
  <si>
    <t>Execution succeeded; rerun and gold contain the same rows and values (516 rows × 2 cols); only row ordering differs.</t>
  </si>
  <si>
    <t>NS2-005</t>
  </si>
  <si>
    <t>What are the 10 most common lithology names in the WACHEM dataset, and how many samples does each have?</t>
  </si>
  <si>
    <t>WACHEM 数据集中最常见的 10 种岩性名称是什么?各有多少样品?</t>
  </si>
  <si>
    <t>10 rows × 2 cols</t>
  </si>
  <si>
    <t>Execution succeeded; rerun output (10 rows × 2 cols) exactly matches the official gold artifact (10 rows × 2 cols).</t>
  </si>
  <si>
    <t>NS2-006</t>
  </si>
  <si>
    <t>Compare the mean and median of measured soil gold values. What does the gap tell you about the distribution?</t>
  </si>
  <si>
    <t>对比土壤金实测值的均值与中位数,两者差距说明分布有什么特点?</t>
  </si>
  <si>
    <t>1 rows × 3 cols</t>
  </si>
  <si>
    <t>Execution succeeded; rerun output (1 rows × 3 cols) exactly matches the official gold artifact (1 rows × 3 cols).</t>
  </si>
  <si>
    <t>NS2-007</t>
  </si>
  <si>
    <t>Which 10 WAMEX reports contributed the most surface samples?</t>
  </si>
  <si>
    <t>贡献地表样品最多的 10 份 WAMEX 报告是哪些?</t>
  </si>
  <si>
    <t>NS2-008</t>
  </si>
  <si>
    <t>Compute the 99th percentile of measured copper for each sampling medium.</t>
  </si>
  <si>
    <t>计算各采样介质实测铜值的 99 分位数。</t>
  </si>
  <si>
    <t>Execution succeeded; rerun output (4 rows × 3 cols) exactly matches the official gold artifact (4 rows × 3 cols).</t>
  </si>
  <si>
    <t>For lithologies with at least 50 WACHEM samples, what is the average SiO2? List the top 10 by average.</t>
  </si>
  <si>
    <t>对 WACHEM 中样品数不少于 50 的岩性,平均 SiO2 是多少?按平均值列前 10。</t>
  </si>
  <si>
    <t>Execution succeeded; rerun output (10 rows × 3 cols) exactly matches the official gold artifact (10 rows × 3 cols).</t>
  </si>
  <si>
    <t>NS2-010</t>
  </si>
  <si>
    <t>What is the median TDS of groundwater by data source?</t>
  </si>
  <si>
    <t>按数据来源统计地下水 TDS 的中位数。</t>
  </si>
  <si>
    <t>3 rows × 3 cols</t>
  </si>
  <si>
    <t>Execution succeeded; rerun output (3 rows × 3 cols) exactly matches the official gold artifact (3 rows × 3 cols).</t>
  </si>
  <si>
    <t>NS2-011</t>
  </si>
  <si>
    <t>Using the IQR rule (above Q3 + 1.5*IQR), how many measured zinc values in stream sediments are outliers, and what is the threshold?</t>
  </si>
  <si>
    <t>用 IQR 规则(高于 Q3 + 1.5×IQR),水系沉积物实测锌值有多少个离群点?阈值是多少?</t>
  </si>
  <si>
    <t>NS2-012</t>
  </si>
  <si>
    <t>What fraction of samples in each medium has a valid measured lithium value?</t>
  </si>
  <si>
    <t>各采样介质中锂有有效实测值的样品占多大比例?</t>
  </si>
  <si>
    <t>NS2-013</t>
  </si>
  <si>
    <t>Compute the geometric mean of soil gold (positive measured values only) and compare it with the arithmetic mean.</t>
  </si>
  <si>
    <t>计算土壤金的几何平均值(仅用正实测值),并与算术平均值对比。</t>
  </si>
  <si>
    <t>NS2-014</t>
  </si>
  <si>
    <t>For each of the 10 WAMEX reports with the most samples, what is the highest measured gold value?</t>
  </si>
  <si>
    <t>样品数最多的 10 份 WAMEX 报告中,各自最高的实测金值是多少?</t>
  </si>
  <si>
    <t>NS2-015</t>
  </si>
  <si>
    <t>Build a per-medium anomaly threshold table: the 95th percentile of measured values for Au, Cu and As in each medium.</t>
  </si>
  <si>
    <t>构建各介质异常阈值表:每种介质中 Au、Cu、As 实测值的 95 分位数。</t>
  </si>
  <si>
    <t>NS3-001</t>
  </si>
  <si>
    <t>spatial operations</t>
  </si>
  <si>
    <t>Find all stream sediment samples within 20 km of Kambalda townsite. Report sample ID and distance in km.</t>
  </si>
  <si>
    <t>找出 Kambalda 镇 20 km 范围内的所有水系沉积物样品,给出样品编号和距离(km)。</t>
  </si>
  <si>
    <t>Execution succeeded; rerun output (3 rows × 2 cols) exactly matches the official gold artifact (3 rows × 2 cols).</t>
  </si>
  <si>
    <t>NS3-002</t>
  </si>
  <si>
    <t>Which mapped fault is closest to surface sample 1847141, and how far away is it in km? Report the fault name.</t>
  </si>
  <si>
    <t>距地表样品 1847141 最近的断层是哪条?距离多少 km?给出断层名称。</t>
  </si>
  <si>
    <t>NS3-003</t>
  </si>
  <si>
    <t>How many soil samples fall inside the mapped extent of the Eastern Goldfields Superterrane (greenstone belt polygons)?</t>
  </si>
  <si>
    <t>有多少土壤样品落在 Eastern Goldfields Superterrane(绿岩带多边形)的填图范围内?</t>
  </si>
  <si>
    <t>1 rows × 1 cols</t>
  </si>
  <si>
    <t>Execution succeeded; rerun output (1 rows × 1 cols) exactly matches the official gold artifact (1 rows × 1 cols).</t>
  </si>
  <si>
    <t>NS3-004</t>
  </si>
  <si>
    <t>How many surface samples of each medium lie within 2 km of the Boulder-Lefroy Fault?</t>
  </si>
  <si>
    <t>Boulder-Lefroy 断层 2 km 缓冲区内各采样介质的地表样品有多少?</t>
  </si>
  <si>
    <t>NS3-005</t>
  </si>
  <si>
    <t>Count surface samples of each medium inside the box longitude 121.4-121.6, latitude -30.9 to -30.7 (Kalgoorlie area).</t>
  </si>
  <si>
    <t>统计经度 121.4–121.6、纬度 -30.9~-30.7(Kalgoorlie 一带)方框内各采样介质的样品数。</t>
  </si>
  <si>
    <t>NS3-006</t>
  </si>
  <si>
    <t>Count surface samples of each medium within 10 km of Coolgardie townsite.</t>
  </si>
  <si>
    <t>统计 Coolgardie 镇 10 km 范围内各采样介质的样品数。</t>
  </si>
  <si>
    <t>NS3-007</t>
  </si>
  <si>
    <t>Which townsite is closest to surface sample 1847141, and how far is it in km?</t>
  </si>
  <si>
    <t>距地表样品 1847141 最近的城镇是哪个?距离多少 km?</t>
  </si>
  <si>
    <t>NS3-008</t>
  </si>
  <si>
    <t>How many soil samples fall within the mapped Youanmi Terrane greenstone polygons?</t>
  </si>
  <si>
    <t>有多少土壤样品落在 Youanmi Terrane 绿岩带多边形内?</t>
  </si>
  <si>
    <t>NS3-009</t>
  </si>
  <si>
    <t>How many soil samples lie within 1 km of any mapped pegmatite body?</t>
  </si>
  <si>
    <t>有多少土壤样品位于任何填图伟晶岩体 1 km 范围内?</t>
  </si>
  <si>
    <t>NS3-010</t>
  </si>
  <si>
    <t>Grid the state into 0.1-degree cells and find the 5 cells containing the most soil samples.</t>
  </si>
  <si>
    <t>把全州按 0.1° 网格划分,找出土壤样品最多的 5 个网格。</t>
  </si>
  <si>
    <t>5 rows × 3 cols</t>
  </si>
  <si>
    <t>Execution succeeded; rerun output (5 rows × 3 cols) exactly matches the official gold artifact (5 rows × 3 cols).</t>
  </si>
  <si>
    <t>NS3-011</t>
  </si>
  <si>
    <t>Which 5 mapped paleovalleys contain the most surface samples?</t>
  </si>
  <si>
    <t>哪 5 条填图古河道内的地表样品最多?</t>
  </si>
  <si>
    <t>Execution succeeded; rerun output (5 rows × 2 cols) exactly matches the official gold artifact (5 rows × 2 cols).</t>
  </si>
  <si>
    <t>NS3-012</t>
  </si>
  <si>
    <t>For each operating gold mine site, how far is the nearest surface sample? Report the 5 least-sampled sites (largest distance).</t>
  </si>
  <si>
    <t>每个在营金矿点距最近地表样品多远?报告采样最稀疏(距离最大)的 5 个矿点。</t>
  </si>
  <si>
    <t>NS3-013</t>
  </si>
  <si>
    <t>How many surface samples of each medium lie within 5 km of the Zuleika Shear Zone?</t>
  </si>
  <si>
    <t>Zuleika 剪切带 5 km 范围内各采样介质的地表样品有多少?</t>
  </si>
  <si>
    <t>在 Leonora 方框(经度 121.1–121.6、纬度 -29.15~-28.65)内,列出金高于 0.5 ppm 的岩屑样品。</t>
  </si>
  <si>
    <t>Verified — canonical gold artifact defect</t>
  </si>
  <si>
    <t>NS3-015</t>
  </si>
  <si>
    <t>What is the northernmost soil sample with gold above 1 ppm? Report its ID, coordinates and value.</t>
  </si>
  <si>
    <t>金高于 1 ppm 的土壤样品中最北的一个是哪个?给出编号、坐标和金值。</t>
  </si>
  <si>
    <t>1 rows × 4 cols</t>
  </si>
  <si>
    <t>Execution succeeded; rerun output (1 rows × 4 cols) exactly matches the official gold artifact (1 rows × 4 cols).</t>
  </si>
  <si>
    <t>NS4-001</t>
  </si>
  <si>
    <t>multi-element relations</t>
  </si>
  <si>
    <t>For each sampling medium, compute the Pearson correlation between gold and arsenic (using samples where both are measured). Which medium shows the strongest Au-As correlation?</t>
  </si>
  <si>
    <t>按采样介质计算金与砷的 Pearson 相关系数(仅用两者均有实测值的样品),哪种介质的 Au-As 相关性最强?</t>
  </si>
  <si>
    <t>NS4-002</t>
  </si>
  <si>
    <t>Compute the Cu/Zn ratio for rock chip samples and list those with a ratio above 10, showing sample ID, Cu, Zn and the ratio.</t>
  </si>
  <si>
    <t>计算岩屑样品的 Cu/Zn 比值,列出比值大于 10 的样品,给出样品编号、Cu、Zn 和比值。</t>
  </si>
  <si>
    <t>15,715 rows × 4 cols</t>
  </si>
  <si>
    <t>Execution succeeded; rerun output (15,715 rows × 4 cols) exactly matches the official gold artifact (15,715 rows × 4 cols).</t>
  </si>
  <si>
    <t>NS4-003</t>
  </si>
  <si>
    <t>Among As, Sb, Bi and W, which element is the best pathfinder for gold in soil samples, judged by Pearson correlation with Au?</t>
  </si>
  <si>
    <t>在 As、Sb、Bi、W 中,以与 Au 的 Pearson 相关系数衡量,哪个元素是土壤中金的最佳指示元素?</t>
  </si>
  <si>
    <t>NS4-004</t>
  </si>
  <si>
    <t>Find stream sediment samples with an ultramafic signature: both Ni and Cr above 500 ppm. Report sample ID, Ni, Cr and the Ni/Cr ratio.</t>
  </si>
  <si>
    <t>找出具有超镁铁质特征的水系沉积物样品:Ni 与 Cr 同时高于 500 ppm。给出样品编号、Ni、Cr 及 Ni/Cr 比值。</t>
  </si>
  <si>
    <t>559 rows × 4 cols</t>
  </si>
  <si>
    <t>Execution succeeded; rerun output (559 rows × 4 cols) exactly matches the official gold artifact (559 rows × 4 cols).</t>
  </si>
  <si>
    <t>NS4-005</t>
  </si>
  <si>
    <t>In the WACHEM dataset, what is the Pearson correlation between MgO (wt%) and Cr (ppm) across samples where both are measured?</t>
  </si>
  <si>
    <t>WACHEM 数据集中,MgO(wt%)与 Cr(ppm)在两者均有实测值的样品上的 Pearson 相关系数是多少?</t>
  </si>
  <si>
    <t>1 rows × 2 cols</t>
  </si>
  <si>
    <t>Execution succeeded; rerun output (1 rows × 2 cols) exactly matches the official gold artifact (1 rows × 2 cols).</t>
  </si>
  <si>
    <t>List stream sediment samples with a Zn/Pb ratio above 5 (both measured), showing both values and the ratio.</t>
  </si>
  <si>
    <t>列出 Zn/Pb 比值大于 5 的水系沉积物样品(两者均有实测),给出两个值和比值。</t>
  </si>
  <si>
    <t>29,286 rows × 4 cols</t>
  </si>
  <si>
    <t>Execution succeeded; rerun output (29,286 rows × 4 cols) exactly matches the official gold artifact (29,286 rows × 4 cols).</t>
  </si>
  <si>
    <t>NS4-007</t>
  </si>
  <si>
    <t>Among Cu, Ni, Cr and Co in stream sediments, which element pair has the strongest Pearson correlation?</t>
  </si>
  <si>
    <t>水系沉积物中 Cu、Ni、Cr、Co 四元素里,哪一对的 Pearson 相关最强?</t>
  </si>
  <si>
    <t>6 rows × 3 cols</t>
  </si>
  <si>
    <t>Execution succeeded; rerun output (6 rows × 3 cols) exactly matches the official gold artifact (6 rows × 3 cols).</t>
  </si>
  <si>
    <t>NS4-008</t>
  </si>
  <si>
    <t>What is the Pearson correlation between vanadium and titanium in rock chip samples (both measured)?</t>
  </si>
  <si>
    <t>岩屑样品中钒与钛的 Pearson 相关系数是多少(两者均实测)?</t>
  </si>
  <si>
    <t>NS4-009</t>
  </si>
  <si>
    <t>In WACHEM, list samples with a K2O/Na2O ratio above 2 (potassic), showing lithology and the ratio.</t>
  </si>
  <si>
    <t>在 WACHEM 中列出 K2O/Na2O 比值大于 2(富钾)的样品,给出岩性和比值。</t>
  </si>
  <si>
    <t>17,081 rows × 5 cols</t>
  </si>
  <si>
    <t>Execution succeeded; rerun output (17,081 rows × 5 cols) exactly matches the official gold artifact (17,081 rows × 5 cols).</t>
  </si>
  <si>
    <t>NS4-010</t>
  </si>
  <si>
    <t>Find soil samples that are anomalous in BOTH gold and arsenic, using each element's own 95th percentile (measured values) as the threshold.</t>
  </si>
  <si>
    <t>找出金和砷同时异常的土壤样品,阈值分别取各元素实测值的 95 分位数。</t>
  </si>
  <si>
    <t>12,581 rows × 4 cols</t>
  </si>
  <si>
    <t>Execution succeeded; rerun and gold contain the same rows and values (12,581 rows × 4 cols); only row ordering differs.</t>
  </si>
  <si>
    <t>NS4-011</t>
  </si>
  <si>
    <t>For soil Au vs As, compare Pearson and Spearman correlations. Which is more appropriate for grade data and why?</t>
  </si>
  <si>
    <t>对土壤 Au-As 分别计算 Pearson 与 Spearman 相关,哪个更适合品位数据?为什么?</t>
  </si>
  <si>
    <t>Compute the Ni/Mg ratio for stream sediment samples (both measured, Mg positive) and list the top 10.</t>
  </si>
  <si>
    <t>计算水系沉积物的 Ni/Mg 比值(两者实测、Mg 为正),列出前 10。</t>
  </si>
  <si>
    <t>NS4-013</t>
  </si>
  <si>
    <t>In the groundwater dataset, what is the correlation between TDS and chloride (mg/L)?</t>
  </si>
  <si>
    <t>地下水数据集中 TDS 与氯离子(mg/L)的相关系数是多少?</t>
  </si>
  <si>
    <t>For rock chip samples, compute the Cu/S ratio. Careful: sulfur is stored in percent, copper in ppm. List the top 10 by ratio with both raw values.</t>
  </si>
  <si>
    <t>计算岩屑样品的 Cu/S 比值。注意:硫以百分比存储、铜以 ppm 存储。按比值列出前 10,附两个原始值。</t>
  </si>
  <si>
    <t>NS4-015</t>
  </si>
  <si>
    <t>How many soil samples have gold measured but arsenic missing, and vice versa?</t>
  </si>
  <si>
    <t>有多少土壤样品金有实测但砷缺失?反过来又有多少?</t>
  </si>
  <si>
    <t>NS5-001</t>
  </si>
  <si>
    <t>visualization</t>
  </si>
  <si>
    <t>Draw a proportional-symbol map of soil gold values in the Kalgoorlie area (lon 121.2-121.8, lat -31.0 to -30.5), with symbol size scaled logarithmically.</t>
  </si>
  <si>
    <t>绘制 Kalgoorlie 一带(经度 121.2–121.8、纬度 -31.0~-30.5)土壤金含量的比例符号地图,符号大小按对数缩放。</t>
  </si>
  <si>
    <t>Verified — visual equivalent</t>
  </si>
  <si>
    <t>851 × 670 px</t>
  </si>
  <si>
    <t>846 × 670 px</t>
  </si>
  <si>
    <t>Execution succeeded; rerun image (851 × 670 px) is visually equivalent to the official gold image (846 × 670 px). Normalized image comparison: MAE 4.37, RMS 15.52.</t>
  </si>
  <si>
    <t>NS5-002</t>
  </si>
  <si>
    <t>Draw box plots of arsenic values grouped by sampling medium, with a logarithmic y-axis.</t>
  </si>
  <si>
    <t>按采样介质分组绘制砷含量箱线图,y 轴取对数。</t>
  </si>
  <si>
    <t>850 × 563 px</t>
  </si>
  <si>
    <t>848 × 560 px</t>
  </si>
  <si>
    <t>Execution succeeded; rerun image (850 × 563 px) is visually equivalent to the official gold image (848 × 560 px). Normalized image comparison: MAE 3.20, RMS 13.64.</t>
  </si>
  <si>
    <t>NS5-003</t>
  </si>
  <si>
    <t>Plot a histogram of soil gold values using logarithmic bins.</t>
  </si>
  <si>
    <t>用对数分箱绘制土壤金含量直方图。</t>
  </si>
  <si>
    <t>869 × 566 px</t>
  </si>
  <si>
    <t>865 × 564 px</t>
  </si>
  <si>
    <t>Execution succeeded; rerun image (869 × 566 px) is visually equivalent to the official gold image (865 × 564 px). Normalized image comparison: MAE 4.54, RMS 18.73.</t>
  </si>
  <si>
    <t>NS5-004</t>
  </si>
  <si>
    <t>Draw a hexbin density map of all surface sample locations across the state.</t>
  </si>
  <si>
    <t>绘制全州地表采样点位置的 hexbin 密度图。</t>
  </si>
  <si>
    <t>750 × 840 px</t>
  </si>
  <si>
    <t>746 × 836 px</t>
  </si>
  <si>
    <t>Execution succeeded; rerun image (750 × 840 px) is visually equivalent to the official gold image (746 × 836 px). Normalized image comparison: MAE 7.88, RMS 22.15.</t>
  </si>
  <si>
    <t>Make a log-log scatter plot of gold versus arsenic, coloured by sampling medium.</t>
  </si>
  <si>
    <t>绘制金-砷 log-log 散点图,按采样介质着色。</t>
  </si>
  <si>
    <t>757 × 658 px</t>
  </si>
  <si>
    <t>748 × 656 px</t>
  </si>
  <si>
    <t>Execution succeeded; rerun image (757 × 658 px) is visually equivalent to the official gold image (748 × 656 px). Normalized image comparison: MAE 11.03, RMS 29.67.</t>
  </si>
  <si>
    <t>NS5-006</t>
  </si>
  <si>
    <t>Draw a bar chart of sample counts per sampling medium.</t>
  </si>
  <si>
    <t>绘制各采样介质样品数的条形图。</t>
  </si>
  <si>
    <t>721 × 517 px</t>
  </si>
  <si>
    <t>718 × 514 px</t>
  </si>
  <si>
    <t>Execution succeeded; rerun image (721 × 517 px) is visually equivalent to the official gold image (718 × 514 px). Normalized image comparison: MAE 4.47, RMS 18.81.</t>
  </si>
  <si>
    <t>NS5-007</t>
  </si>
  <si>
    <t>Draw a proportional-symbol map of rock chip copper in the Leonora box (lon 121.1-121.6, lat -29.15 to -28.65), log-scaled.</t>
  </si>
  <si>
    <t>绘制 Leonora 方框(经度 121.1–121.6、纬度 -29.15~-28.65)岩屑铜的比例符号地图,对数缩放。</t>
  </si>
  <si>
    <t>841 × 698 px</t>
  </si>
  <si>
    <t>836 × 694 px</t>
  </si>
  <si>
    <t>Execution succeeded; rerun image (841 × 698 px) is visually equivalent to the official gold image (836 × 694 px). Normalized image comparison: MAE 4.56, RMS 17.80.</t>
  </si>
  <si>
    <t>NS5-008</t>
  </si>
  <si>
    <t>Plot the empirical cumulative distribution (ECDF) of measured soil gold with a logarithmic x-axis, and mark the 95th percentile.</t>
  </si>
  <si>
    <t>绘制土壤金实测值的经验累积分布(ECDF),x 轴取对数,并标出 95 分位数。</t>
  </si>
  <si>
    <t>830 × 566 px</t>
  </si>
  <si>
    <t>827 × 564 px</t>
  </si>
  <si>
    <t>Execution succeeded; rerun image (830 × 566 px) is visually equivalent to the official gold image (827 × 564 px). Normalized image comparison: MAE 3.72, RMS 15.84.</t>
  </si>
  <si>
    <t>NS5-009</t>
  </si>
  <si>
    <t>Log-log scatter of Ni vs Cr for stream sediments, with a 1:1 reference line.</t>
  </si>
  <si>
    <t>水系沉积物 Ni-Cr 双对数散点图,加 1:1 参考线。</t>
  </si>
  <si>
    <t>703 × 658 px</t>
  </si>
  <si>
    <t>701 × 656 px</t>
  </si>
  <si>
    <t>Execution succeeded; rerun image (703 × 658 px) is visually equivalent to the official gold image (701 × 656 px). Normalized image comparison: MAE 5.73, RMS 19.77.</t>
  </si>
  <si>
    <t>NS5-010</t>
  </si>
  <si>
    <t>Grouped bar chart: for each medium, the fraction of samples with measured Au, Cu and Li.</t>
  </si>
  <si>
    <t>分组条形图:各介质中 Au、Cu、Li 有实测值的样品比例。</t>
  </si>
  <si>
    <t>830 × 539 px</t>
  </si>
  <si>
    <t>827 × 538 px</t>
  </si>
  <si>
    <t>Execution succeeded; rerun image (830 × 539 px) is visually equivalent to the official gold image (827 × 538 px). Normalized image comparison: MAE 4.62, RMS 17.36.</t>
  </si>
  <si>
    <t>NS5-011</t>
  </si>
  <si>
    <t>Hexbin density map of stream sediment samples in the Eastern Goldfields box (lon 120-124, lat -32 to -27).</t>
  </si>
  <si>
    <t>东金田方框(经度 120–124、纬度 -32~-27)内水系沉积物样品的 hexbin 密度图。</t>
  </si>
  <si>
    <t>Execution succeeded; rerun image (750 × 840 px) is visually equivalent to the official gold image (746 × 836 px). Normalized image comparison: MAE 4.59, RMS 17.18.</t>
  </si>
  <si>
    <t>NS5-012</t>
  </si>
  <si>
    <t>Box plots of log10(gold) by medium (positive measured values).</t>
  </si>
  <si>
    <t>按介质绘制 log10(金) 的箱线图(正实测值)。</t>
  </si>
  <si>
    <t>828 × 539 px</t>
  </si>
  <si>
    <t>825 × 538 px</t>
  </si>
  <si>
    <t>Execution succeeded; rerun image (828 × 539 px) is visually equivalent to the official gold image (825 × 538 px). Normalized image comparison: MAE 3.21, RMS 13.83.</t>
  </si>
  <si>
    <t>Overlay histograms of WACHEM SiO2 for drill-core (DRCO) versus outcrop (OUTC) samples.</t>
  </si>
  <si>
    <t>叠加直方图对比 WACHEM 中钻孔岩心(DRCO)与露头(OUTC)样品的 SiO2 分布。</t>
  </si>
  <si>
    <t>847 × 563 px</t>
  </si>
  <si>
    <t>843 × 559 px</t>
  </si>
  <si>
    <t>Execution succeeded; rerun image (847 × 563 px) is visually equivalent to the official gold image (843 × 559 px). Normalized image comparison: MAE 4.40, RMS 18.10.</t>
  </si>
  <si>
    <t>NS5-014</t>
  </si>
  <si>
    <t>Histogram of measured soil gold (log bins) with the 95th-percentile anomaly threshold marked.</t>
  </si>
  <si>
    <t>土壤金实测值直方图(对数分箱),标出 95 分位异常阈值。</t>
  </si>
  <si>
    <t>Execution succeeded; rerun image (869 × 566 px) is visually equivalent to the official gold image (865 × 564 px). Normalized image comparison: MAE 4.62, RMS 18.95.</t>
  </si>
  <si>
    <t>NS5-015</t>
  </si>
  <si>
    <t>Quantile-classed arsenic map for soil in the Kalgoorlie box (lon 121.2-121.8, lat -31.0 to -30.5): 5 quantile classes with a discrete legend.</t>
  </si>
  <si>
    <t>Kalgoorlie 方框(经度 121.2–121.8、纬度 -31.0~-30.5)土壤砷的分位分级地图:5 个分位级、离散图例。</t>
  </si>
  <si>
    <t>855 × 721 px</t>
  </si>
  <si>
    <t>852 × 717 px</t>
  </si>
  <si>
    <t>Execution succeeded; rerun image (855 × 721 px) is visually equivalent to the official gold image (852 × 717 px). Normalized image comparison: MAE 7.28, RMS 23.38.</t>
  </si>
  <si>
    <t>SS1-001</t>
  </si>
  <si>
    <t>collar-level lookup</t>
  </si>
  <si>
    <t>List drill holes deeper than 500 m in the Kalgoorlie-Kambalda region, with hole ID, hole name and maximum depth.</t>
  </si>
  <si>
    <t>列出 Kalgoorlie–Kambalda 区域中深度超过 500 m 的钻孔,给出孔号、孔名和最大孔深。</t>
  </si>
  <si>
    <t>3,317 rows × 3 cols</t>
  </si>
  <si>
    <t>Execution succeeded; rerun output (3,317 rows × 3 cols) exactly matches the official gold artifact (3,317 rows × 3 cols).</t>
  </si>
  <si>
    <t>SS1-002</t>
  </si>
  <si>
    <t>How many diamond drill holes are there in each region?</t>
  </si>
  <si>
    <t>每个区域各有多少金刚石钻孔(diamond drilling)?</t>
  </si>
  <si>
    <t>SS1-003</t>
  </si>
  <si>
    <t>Which 10 companies (by company ID) have drilled the most holes, and how many each?</t>
  </si>
  <si>
    <t>钻孔数量最多的前 10 家公司(按公司 ID)是哪些?各钻了多少孔?</t>
  </si>
  <si>
    <t>SS1-004</t>
  </si>
  <si>
    <t>Find the deepest drill hole in each region, reporting region, hole ID, hole name and depth.</t>
  </si>
  <si>
    <t>找出每个区域最深的钻孔,给出区域、孔号、孔名和孔深。</t>
  </si>
  <si>
    <t>SS1-005</t>
  </si>
  <si>
    <t>How many drill holes lie in the box longitude 121.5-121.8, latitude -31.3 to -31.1 (Kambalda area), and how many of them are deeper than 300 m?</t>
  </si>
  <si>
    <t>经度 121.5–121.8、纬度 -31.3~-31.1(Kambalda 一带)方框内有多少钻孔?其中深于 300 m 的有多少?</t>
  </si>
  <si>
    <t>SS1-006</t>
  </si>
  <si>
    <t>How many holes exist for each drilling method (use readable method names)?</t>
  </si>
  <si>
    <t>各种钻探方法各有多少钻孔(用可读的方法名)?</t>
  </si>
  <si>
    <t>14 rows × 2 cols</t>
  </si>
  <si>
    <t>Execution succeeded; rerun output (14 rows × 2 cols) exactly matches the official gold artifact (14 rows × 2 cols).</t>
  </si>
  <si>
    <t>SS1-007</t>
  </si>
  <si>
    <t>List the 10 deepest drill holes in the whole database with hole name, region and depth.</t>
  </si>
  <si>
    <t>列出全库最深的 10 个钻孔,给出孔名、区域和孔深。</t>
  </si>
  <si>
    <t>SS1-008</t>
  </si>
  <si>
    <t>In the Kalgoorlie-Kambalda region, which 5 companies drilled the most holes, and what is each company's average hole depth?</t>
  </si>
  <si>
    <t>Kalgoorlie–Kambalda 区域钻孔最多的 5 家公司是哪些?各自平均孔深多少?</t>
  </si>
  <si>
    <t>SS1-009</t>
  </si>
  <si>
    <t>What fraction of holes in each region has no recorded maximum depth?</t>
  </si>
  <si>
    <t>各区域有多大比例的钻孔没有记录最大孔深?</t>
  </si>
  <si>
    <t>SS1-010</t>
  </si>
  <si>
    <t>The collar coordinate table stores its original datum as free text. How many holes are recorded under each datum spelling?</t>
  </si>
  <si>
    <t>collar 坐标表以自由文本存储原始基准面。各基准面写法下各记录了多少孔?</t>
  </si>
  <si>
    <t>SS1-011</t>
  </si>
  <si>
    <t>What share of holes in each region has a recorded collar elevation?</t>
  </si>
  <si>
    <t>各区域有多大比例的钻孔记录了孔口标高?</t>
  </si>
  <si>
    <t>SS1-012</t>
  </si>
  <si>
    <t>Schema quirk check: in the Kalgoorlie-Kambalda region, what fraction of hole_name values is purely numeric, and where would you find the human-readable company hole name instead?</t>
  </si>
  <si>
    <t>schema 怪癖检查:Kalgoorlie–Kambalda 区域有多大比例的 hole_name 是纯数字?人类可读的公司孔名应该到哪一列找?</t>
  </si>
  <si>
    <t>SS1-013</t>
  </si>
  <si>
    <t>Which 5 WAMEX reports (anumber) cover the most drill holes?</t>
  </si>
  <si>
    <t>覆盖钻孔最多的 5 份 WAMEX 报告(anumber)是哪些?</t>
  </si>
  <si>
    <t>SS1-014</t>
  </si>
  <si>
    <t>Count reverse circulation (RC) holes in the Leonora-Murrin region box (lon 121.25-122.25, lat -29.5 to -28.75) and report their median depth.</t>
  </si>
  <si>
    <t>统计 Leonora–Murrin 区域框(经度 121.25–122.25、纬度 -29.5~-28.75)内反循环(RC)钻孔数量及中位孔深。</t>
  </si>
  <si>
    <t>数据质检:找出同一区域内出现超过一次的孔名,列出重复最多的 10 个。</t>
  </si>
  <si>
    <t>Verified with caveat — valid tied top-N alternative</t>
  </si>
  <si>
    <t>assay interval query</t>
  </si>
  <si>
    <t>Kalgoorlie–Kambalda 区域中单区间金品位最高的 10 个钻孔是哪些?给出孔号、孔名和最高品位。</t>
  </si>
  <si>
    <t>SS2-002</t>
  </si>
  <si>
    <t>List assay intervals with nickel above 1% in the Ravensthorpe region, showing hole ID, interval depths and Ni grade.</t>
  </si>
  <si>
    <t>列出 Ravensthorpe 区域中镍品位超过 1% 的化验区间,给出孔号、区间深度和 Ni 品位。</t>
  </si>
  <si>
    <t>80,567 rows × 4 cols</t>
  </si>
  <si>
    <t>Execution succeeded; rerun and gold contain the same rows and values (80,567 rows × 4 cols); only row ordering differs.</t>
  </si>
  <si>
    <t>SS2-003</t>
  </si>
  <si>
    <t>Which drill holes in the Kalgoorlie-Kambalda region intersected lithium above 500 ppm? Report hole ID, number of such intervals and the maximum Li value.</t>
  </si>
  <si>
    <t>Kalgoorlie–Kambalda 区域哪些钻孔打到过锂高于 500 ppm?给出孔号、此类区间数量和最高 Li 值。</t>
  </si>
  <si>
    <t>455 rows × 3 cols</t>
  </si>
  <si>
    <t>Execution succeeded; rerun and gold contain the same rows and values (455 rows × 3 cols); only row ordering differs.</t>
  </si>
  <si>
    <t>SS2-004</t>
  </si>
  <si>
    <t>For drill hole 4136440, list its 10 highest-grade gold intervals with from-depth, to-depth and grade.</t>
  </si>
  <si>
    <t>对孔号 4136440 的钻孔,列出金品位最高的 10 个区间及其起止深度和品位。</t>
  </si>
  <si>
    <t>SS2-005</t>
  </si>
  <si>
    <t>What is the average assay sample interval length in each region? Exclude intervals with non-positive length.</t>
  </si>
  <si>
    <t>各区域化验样品的平均取样区间长度是多少?排除长度非正的异常区间。</t>
  </si>
  <si>
    <t>SS2-006</t>
  </si>
  <si>
    <t>List the 10 highest copper intervals in the Ravensthorpe region with hole ID, depths and grade.</t>
  </si>
  <si>
    <t>列出 Ravensthorpe 区域铜品位最高的 10 个区间,给出孔号、深度和品位。</t>
  </si>
  <si>
    <t>SS2-007</t>
  </si>
  <si>
    <t>In the Leonora-Murrin region, how many assay intervals have valid measurements for Au, Ni, Cu and Li respectively?</t>
  </si>
  <si>
    <t>Leonora–Murrin 区域中,Au、Ni、Cu、Li 各有多少化验区间具有效实测值?</t>
  </si>
  <si>
    <t>1 rows × 5 cols</t>
  </si>
  <si>
    <t>Execution succeeded; rerun output (1 rows × 5 cols) exactly matches the official gold artifact (1 rows × 5 cols).</t>
  </si>
  <si>
    <t>SS2-008</t>
  </si>
  <si>
    <t>How many assay intervals in the Kalgoorlie-Kambalda region have arsenic above 1000 ppm, and which hole has the highest?</t>
  </si>
  <si>
    <t>Kalgoorlie–Kambalda 区域有多少化验区间砷超过 1000 ppm?最高的在哪个孔?</t>
  </si>
  <si>
    <t>SS2-009</t>
  </si>
  <si>
    <t>Find the 10 thickest single intervals grading at least 1 g/t Au in the Kalgoorlie-Kambalda region.</t>
  </si>
  <si>
    <t>找出 Kalgoorlie–Kambalda 区域品位不低于 1 g/t 金的最厚 10 个单区间。</t>
  </si>
  <si>
    <t>10 rows × 5 cols</t>
  </si>
  <si>
    <t>Execution succeeded; rerun and gold contain the same rows and values (10 rows × 5 cols); only row ordering differs.</t>
  </si>
  <si>
    <t>Leonora–Murrin 区域哪 10 个孔在最浅深度打到镍超 1%?给出第一个此类区间的顶深。</t>
  </si>
  <si>
    <t>SS2-011</t>
  </si>
  <si>
    <t>Profile gold with depth in the Kalgoorlie-Kambalda region: average measured Au in 50 m depth bins from 0 to 500 m.</t>
  </si>
  <si>
    <t>剖析 Kalgoorlie–Kambalda 区域金随深度的变化:0–500 m 按 50 m 分箱统计平均实测金。</t>
  </si>
  <si>
    <t>11 rows × 3 cols</t>
  </si>
  <si>
    <t>Execution succeeded; rerun output (11 rows × 3 cols) exactly matches the official gold artifact (11 rows × 3 cols).</t>
  </si>
  <si>
    <t>SS2-012</t>
  </si>
  <si>
    <t>Which holes intersected both silver above 50 ppm and lead above 1% (in any intervals)? Report each hole's maxima.</t>
  </si>
  <si>
    <t>哪些钻孔既打到过银超 50 ppm 又打到过铅超 1%(不要求同区间)?给出各孔两元素的最大值。</t>
  </si>
  <si>
    <t>115 rows × 3 cols</t>
  </si>
  <si>
    <t>Execution succeeded; rerun and gold contain the same rows and values (115 rows × 3 cols); only row ordering differs.</t>
  </si>
  <si>
    <t>SS2-013</t>
  </si>
  <si>
    <t>Which 5 holes have the most assay intervals?</t>
  </si>
  <si>
    <t>化验区间数最多的 5 个钻孔是哪些?</t>
  </si>
  <si>
    <t>Execution succeeded; rerun and gold contain the same rows and values (5 rows × 2 cols); only row ordering differs.</t>
  </si>
  <si>
    <t>SS2-014</t>
  </si>
  <si>
    <t>In the Ravensthorpe region, describe the distribution of assay-interval counts per hole (mean, median, max).</t>
  </si>
  <si>
    <t>Ravensthorpe 区域中,每孔化验区间数的分布如何(均值、中位数、最大值)?</t>
  </si>
  <si>
    <t>SS2-015</t>
  </si>
  <si>
    <t>Data QC: how many negative (sentinel/below-detection) values does each of Au, Ni and Cu have in the assay table, and what are the most common negative codes?</t>
  </si>
  <si>
    <t>数据质检:化验表中 Au、Ni、Cu 各有多少负值(哨兵/低于检出限)?最常见的负值编码是哪些?</t>
  </si>
  <si>
    <t>15 rows × 3 cols</t>
  </si>
  <si>
    <t>Execution succeeded; rerun output (15 rows × 3 cols) exactly matches the official gold artifact (15 rows × 3 cols).</t>
  </si>
  <si>
    <t>SS3-001</t>
  </si>
  <si>
    <t>interval/depth reasoning</t>
  </si>
  <si>
    <t>For drill hole 4136440, report all significant gold intercepts: composited intervals of at least 4 m with a length-weighted average grade of at least 0.5 g/t Au, allowing up to 2 m of internal dilution. Give from-depth, to-depth, length and weighted grade.</t>
  </si>
  <si>
    <t>对孔号 4136440,报告所有金显著见矿段:合并后长度 ≥4 m、长度加权平均品位 ≥0.5 g/t 的复合区间,允许最多 2 m 内部贫化。给出起止深度、长度和加权品位。</t>
  </si>
  <si>
    <t>Ravensthorpe 区域中,计算每个钻孔在有实测值区间上的长度加权平均镍品位,列出实测长度不少于 50 m 的前 10 个孔。</t>
  </si>
  <si>
    <t>SS3-003</t>
  </si>
  <si>
    <t>Which 10 holes in the Kalgoorlie-Kambalda region have the greatest total mineralized length at a 1 g/t Au cutoff? Report hole ID and total meters above cutoff.</t>
  </si>
  <si>
    <t>Kalgoorlie–Kambalda 区域中,按 1 g/t 金边界品位计,累计见矿长度最大的 10 个钻孔是哪些?给出孔号和超边界品位的总米数。</t>
  </si>
  <si>
    <t>SS3-004</t>
  </si>
  <si>
    <t>Data QC: find drill holes whose deepest assay interval extends more than 1 m beyond the recorded collar maximum depth. Report hole ID, collar depth and deepest assay depth, worst offenders first.</t>
  </si>
  <si>
    <t>数据质检:找出最深化验区间超出孔口记录最大孔深 1 m 以上的钻孔,给出孔号、孔口深度与最深化验深度,超深最多的排前。</t>
  </si>
  <si>
    <t>1,126 rows × 4 cols</t>
  </si>
  <si>
    <t>Execution succeeded; rerun and gold contain the same rows and values (1,126 rows × 4 cols); only row ordering differs.</t>
  </si>
  <si>
    <t>SS3-005</t>
  </si>
  <si>
    <t>In the Ravensthorpe region, find sampling gaps: places where the next assay interval in the same hole starts more than 10 m below the previous one's end. Report hole ID, gap top, gap bottom and gap length, largest first.</t>
  </si>
  <si>
    <t>在 Ravensthorpe 区域找出取样间断:同一孔内下一化验区间的起点比上一区间终点深 10 m 以上。给出孔号、间断顶深、底深和间断长度,最大的排前。</t>
  </si>
  <si>
    <t>865 rows × 4 cols</t>
  </si>
  <si>
    <t>Execution succeeded; rerun and gold contain the same rows and values (865 rows × 4 cols); only row ordering differs.</t>
  </si>
  <si>
    <t>SS3-006</t>
  </si>
  <si>
    <t>For drill hole 3420449, report all significant gold intercepts (&gt;=4 m composited length, length-weighted grade &gt;=0.5 g/t, up to 2 m internal dilution).</t>
  </si>
  <si>
    <t>对孔号 3420449,报告所有金显著见矿段(合并长度 ≥4 m、长度加权品位 ≥0.5 g/t、允许 ≤2 m 内部贫化)。</t>
  </si>
  <si>
    <t>SS3-007</t>
  </si>
  <si>
    <t>In the Kalgoorlie-Kambalda region, compute each hole's length-weighted average gold grade (measured intervals, at least 20 m total). Top 10.</t>
  </si>
  <si>
    <t>Kalgoorlie–Kambalda 区域中计算每孔的长度加权平均金品位(实测区间、总长不少于 20 m),列前 10。</t>
  </si>
  <si>
    <t>SS3-008</t>
  </si>
  <si>
    <t>Recomposite the first 100 assayed metres of drill hole 4136440 (starting at its shallowest assay) into regular 2 m benches: for each bench report the length-weighted average gold of overlapping assay intervals.</t>
  </si>
  <si>
    <t>将孔号 4136440 最初 100 个化验米段(从最浅化验深度起)重新组合为规则的 2 m 台阶:每个台阶报告与其重叠化验区间的长度加权平均金品位。</t>
  </si>
  <si>
    <t>27 rows × 4 cols</t>
  </si>
  <si>
    <t>Execution succeeded; rerun output (27 rows × 4 cols) exactly matches the official gold artifact (27 rows × 4 cols).</t>
  </si>
  <si>
    <t>SS3-009</t>
  </si>
  <si>
    <t>For drill hole 2250375 (Leonora-Murrin), what is the longest continuous run of contiguous intervals all grading nickel at least 5000 ppm?</t>
  </si>
  <si>
    <t>对孔号 2250375(Leonora–Murrin),镍连续不低于 5000 ppm 的相邻区间最长连续段有多长?</t>
  </si>
  <si>
    <t>Ravensthorpe 区域中计算每孔化验覆盖率(区间总长/孔深),列出孔深大于 50 m、有化验但覆盖率最低的 10 个孔。</t>
  </si>
  <si>
    <t>SS3-011</t>
  </si>
  <si>
    <t>Data QC: count overlapping assay intervals (an interval starting above the previous interval's end in the same hole) per region.</t>
  </si>
  <si>
    <t>数据质检:统计各区域中重叠的化验区间(同孔中区间起点高于上一区间终点)数量。</t>
  </si>
  <si>
    <t>SS3-012</t>
  </si>
  <si>
    <t>Rank the 10 best single intervals in the Kalgoorlie-Kambalda region by gold accumulation (grade x thickness, gram-metres).</t>
  </si>
  <si>
    <t>按金累积量(品位×厚度,克·米)对 Kalgoorlie–Kambalda 区域单区间排名,取前 10。</t>
  </si>
  <si>
    <t>Execution succeeded; rerun output (10 rows × 5 cols) exactly matches the official gold artifact (10 rows × 5 cols).</t>
  </si>
  <si>
    <t>SS3-013</t>
  </si>
  <si>
    <t>What is the average depth to the first assay interval in each region?</t>
  </si>
  <si>
    <t>各区域第一个化验区间的平均起始深度是多少?</t>
  </si>
  <si>
    <t>SS3-014</t>
  </si>
  <si>
    <t>For drill hole 4136440, compute the depth-weighted centre of gold mineralisation: the (length x grade)-weighted mean interval midpoint depth.</t>
  </si>
  <si>
    <t>对孔号 4136440,计算金矿化的深度重心:以(长度×品位)加权的区间中点平均深度。</t>
  </si>
  <si>
    <t>SS3-015</t>
  </si>
  <si>
    <t>How many assay intervals in the Kalgoorlie-Kambalda region straddle the 100 m depth mark (start above, end below)?</t>
  </si>
  <si>
    <t>Kalgoorlie–Kambalda 区域有多少化验区间跨越 100 m 深度线(顶在其上、底在其下)?</t>
  </si>
  <si>
    <t>SS4-001</t>
  </si>
  <si>
    <t>lithology-assay interval join</t>
  </si>
  <si>
    <t>What is the overlap-length-weighted average nickel grade within intervals logged as ultramafic (lithology code starting with 'UM')?</t>
  </si>
  <si>
    <t>在编录为超镁铁质(岩性代码以 'UM' 开头)的区间内,按重叠长度加权的平均镍品位是多少?</t>
  </si>
  <si>
    <t>SS4-002</t>
  </si>
  <si>
    <t>Compare the average gold grade of assay intervals that overlap strongly veined intervals (vein percentage at least 20%) with the overall average. Report both numbers.</t>
  </si>
  <si>
    <t>将与强脉体区间(脉体百分比 ≥20%)重叠的化验区间平均金品位,与总体平均金品位对比,给出两个数字。</t>
  </si>
  <si>
    <t>SS4-003</t>
  </si>
  <si>
    <t>For the 10 highest-grade gold intervals in the Kalgoorlie-Kambalda region, what lithology was logged at each interval's midpoint depth? Report hole ID, depths, grade and lithology code.</t>
  </si>
  <si>
    <t>Kalgoorlie–Kambalda 区域金品位最高的 10 个化验区间,其中点深度处编录的岩性是什么?给出孔号、深度、品位和岩性代码。</t>
  </si>
  <si>
    <t>SS4-004</t>
  </si>
  <si>
    <t>How many assay intervals are entirely contained within intervals logged with lithology code 'MB' (contained, not merely overlapping)?</t>
  </si>
  <si>
    <t>有多少化验区间完全落在岩性代码为 'MB' 的编录区间之内(是包含,不只是重叠)?</t>
  </si>
  <si>
    <t>SS4-005</t>
  </si>
  <si>
    <t>Is gold grade higher inside chlorite-altered intervals (alteration code 'CL') than outside them, for holes that have alteration logging? Report the two weighted averages.</t>
  </si>
  <si>
    <t>在有蚀变编录的钻孔中,绿泥石化区间(蚀变代码 'CL')内的金品位是否高于区间外?给出两个加权平均值。</t>
  </si>
  <si>
    <t>2 rows × 3 cols</t>
  </si>
  <si>
    <t>Execution succeeded; rerun output (2 rows × 3 cols) exactly matches the official gold artifact (2 rows × 3 cols).</t>
  </si>
  <si>
    <t>SS4-006</t>
  </si>
  <si>
    <t>What is the overlap-length-weighted average gold grade within intervals logged with lithology code 'Mb' (exactly, case-sensitive)?</t>
  </si>
  <si>
    <t>在岩性代码恰好为 'Mb'(区分大小写)的编录区间内,按重叠长度加权的平均金品位是多少?</t>
  </si>
  <si>
    <t>SS4-007</t>
  </si>
  <si>
    <t>Which 10 lithology codes have the greatest total logged length in the Kalgoorlie-Kambalda region?</t>
  </si>
  <si>
    <t>Kalgoorlie–Kambalda 区域编录总长度最大的 10 个岩性代码是哪些?</t>
  </si>
  <si>
    <t>SS4-008</t>
  </si>
  <si>
    <t>For holes that have ultramafic logging (lith code starting 'UM'), compare the weighted average nickel inside those intervals versus outside them.</t>
  </si>
  <si>
    <t>对有超镁铁质编录(岩性代码 'UM' 开头)的钻孔,对比此类区间内与区间外的加权平均镍。</t>
  </si>
  <si>
    <t>Execution succeeded; rerun and gold contain the same rows and values (2 rows × 3 cols); only row ordering differs.</t>
  </si>
  <si>
    <t>SS4-009</t>
  </si>
  <si>
    <t>How many mineralized intervals (Au &gt;= 1 g/t) in the Kalgoorlie-Kambalda region have NO overlapping geology logging at all?</t>
  </si>
  <si>
    <t>Kalgoorlie–Kambalda 区域有多少矿化区间(Au ≥ 1 g/t)完全没有任何重叠的地质编录?</t>
  </si>
  <si>
    <t>SS4-010</t>
  </si>
  <si>
    <t>For the 10 deepest holes in the Kalgoorlie-Kambalda region that have geology logging, what lithology is logged at the bottom of each hole?</t>
  </si>
  <si>
    <t>Kalgoorlie–Kambalda 区域有地质编录的最深 10 个孔,孔底编录的岩性是什么?</t>
  </si>
  <si>
    <t>Execution succeeded; rerun and gold contain the same rows and values (10 rows × 4 cols); only row ordering differs.</t>
  </si>
  <si>
    <t>SS4-011</t>
  </si>
  <si>
    <t>Weathering control on gold: compare the overlap-weighted average Au inside completely-weathered intervals (code 'cw') versus fresh intervals (code 'fr') from the weathering log.</t>
  </si>
  <si>
    <t>风化对金的控制:对比风化编录中全风化区间('cw')与新鲜区间('fr')内按重叠加权的平均金品位。</t>
  </si>
  <si>
    <t>SS4-012</t>
  </si>
  <si>
    <t>Which 10 stratigraphic units have the most logged metres?</t>
  </si>
  <si>
    <t>编录米数最多的 10 个地层单元是哪些?</t>
  </si>
  <si>
    <t>SS4-013</t>
  </si>
  <si>
    <t>Across overlapping (assay, veining) interval pairs, what is the correlation between vein percentage and gold grade?</t>
  </si>
  <si>
    <t>在(化验,脉体)重叠区间对上,脉体百分比与金品位的相关系数是多少?</t>
  </si>
  <si>
    <t>SS4-014</t>
  </si>
  <si>
    <t>What is the average gold grade of assay intervals overlapping logged vein structures (structure type 'vn', any case)?</t>
  </si>
  <si>
    <t>与编录的脉状构造(构造类型 'vn',不分大小写)重叠的化验区间平均金品位是多少?</t>
  </si>
  <si>
    <t>SS4-015</t>
  </si>
  <si>
    <t>How many holes have pyrite logged in the mineralogy table (codes starting 'py', any case), and what is their highest gold grade?</t>
  </si>
  <si>
    <t>矿物编录表中记录了黄铁矿(编码以 'py' 开头,不分大小写)的钻孔有多少?这些孔的最高金品位是多少?</t>
  </si>
  <si>
    <t>SS5-001</t>
  </si>
  <si>
    <t>hole geometry</t>
  </si>
  <si>
    <t>Based on each hole's first (shallowest) survey record, how many holes in each region are vertical (dip steeper than -85 degrees) versus inclined?</t>
  </si>
  <si>
    <t>按每孔最浅一条测斜记录判断,各区域垂直孔(倾角陡于 -85°)与斜孔各有多少?</t>
  </si>
  <si>
    <t>SS5-002</t>
  </si>
  <si>
    <t>Using its downhole survey records and the average-angle method, estimate the true vertical depth (TVD) at the end of drill hole 4136440, and compare it with the hole's measured length.</t>
  </si>
  <si>
    <t>利用孔号 4136440 的测斜记录和平均角法,估算孔底的真垂深(TVD),并与测量孔深对比。</t>
  </si>
  <si>
    <t>Kalgoorlie–Kambalda 区域的斜孔(首站倾角缓于 -80°)中,按 10° 分箱最常见的 5 个钻进方位是什么?方位角须先归一化到 0–360°。</t>
  </si>
  <si>
    <t>SS5-004</t>
  </si>
  <si>
    <t>For each hole in the Kalgoorlie-Kambalda region that intersected at least 5 g/t Au, what is the downhole depth to the top of its first such interval? How many holes hit it within 50 m?</t>
  </si>
  <si>
    <t>Kalgoorlie–Kambalda 区域中打到 ≥5 g/t 金的钻孔,其第一个此类区间顶板的孔内深度是多少?其中 50 m 以内见矿的有多少个孔?</t>
  </si>
  <si>
    <t>SS5-005</t>
  </si>
  <si>
    <t>For strictly vertical holes (every survey dip steeper than -85), compute the elevation (RL) of the end of hole as collar elevation minus hole depth. List the 10 deepest-reaching holes by EOH elevation.</t>
  </si>
  <si>
    <t>对严格垂直孔(所有测斜倾角均陡于 -85°),用孔口标高减孔深计算孔底标高(RL),列出孔底标高最低的 10 个孔。</t>
  </si>
  <si>
    <t>SS5-006</t>
  </si>
  <si>
    <t>Estimate the true vertical depth at end of hole for drill hole 3420449 using the average-angle method, and compare with its measured length.</t>
  </si>
  <si>
    <t>用平均角法估算孔号 3420449 孔底真垂深,并与测量孔深对比。</t>
  </si>
  <si>
    <t>SS5-007</t>
  </si>
  <si>
    <t>Which 10 holes in the Kalgoorlie-Kambalda region show the largest dip variation (max minus min dip) along the hole, with at least 5 survey stations?</t>
  </si>
  <si>
    <t>Kalgoorlie–Kambalda 区域中沿孔倾角变化(最大-最小)最大的 10 个孔(至少 5 个测斜站)?</t>
  </si>
  <si>
    <t>SS5-008</t>
  </si>
  <si>
    <t>What is the average first-station dip in each region?</t>
  </si>
  <si>
    <t>各区域首站倾角的平均值是多少?</t>
  </si>
  <si>
    <t>SS5-009</t>
  </si>
  <si>
    <t>For holes in the Kambalda box (lon 121.5-121.8, lat -31.3 to -31.1) with at least 20 survey stations, compute end-of-hole horizontal displacement by the average-angle method. Top 10 by displacement.</t>
  </si>
  <si>
    <t>对 Kambalda 方框(经度 121.5–121.8、纬度 -31.3~-31.1)内至少 20 个测斜站的钻孔,用平均角法计算孔底水平位移,按位移列前 10。</t>
  </si>
  <si>
    <t>SS5-010</t>
  </si>
  <si>
    <t>What is the median survey station spacing in each region?</t>
  </si>
  <si>
    <t>各区域测斜站间距的中位数是多少?</t>
  </si>
  <si>
    <t>SS5-011</t>
  </si>
  <si>
    <t>Data QC: which holes have survey stations recorded deeper than the hole's maximum depth (by more than 1 m)? Count per region.</t>
  </si>
  <si>
    <t>数据质检:哪些孔的测斜站深度超出最大孔深 1 m 以上?按区域计数。</t>
  </si>
  <si>
    <t>SS5-012</t>
  </si>
  <si>
    <t>Where both true and magnetic azimuths are recorded at a station, what is the average angular difference (shortest way around the circle) per region?</t>
  </si>
  <si>
    <t>在同时记录真方位与磁方位的测斜站上,各区域两者的平均角差(取圆周最短方向)是多少?</t>
  </si>
  <si>
    <t>SS5-013</t>
  </si>
  <si>
    <t>How many survey stations record a positive dip (pointing upward) in each region — a sign-convention QC?</t>
  </si>
  <si>
    <t>各区域有多少测斜站记录了正倾角(指向上)——符号约定质检?</t>
  </si>
  <si>
    <t>SS5-014</t>
  </si>
  <si>
    <t>Using dip and azimuth surveys and the average-angle method, compute the end-of-hole horizontal offset vector (east, north components and bearing) for drill hole 4136440.</t>
  </si>
  <si>
    <t>用倾角+方位角测斜和平均角法,计算孔号 4136440 孔底的水平偏移向量(东、北分量与方位)。</t>
  </si>
  <si>
    <t>SS5-015</t>
  </si>
  <si>
    <t>What fraction of diamond (DD) versus reverse-circulation (RC) holes is vertical (first-survey dip steeper than -85)?</t>
  </si>
  <si>
    <t>金刚石(DD)与反循环(RC)钻孔中垂直孔(首站倾角陡于 -85°)的比例各是多少?</t>
  </si>
  <si>
    <t>SS6-001</t>
  </si>
  <si>
    <t>drillhole visualization</t>
  </si>
  <si>
    <t>Map drill hole collars in the Kambalda area (lon 121.5-121.8, lat -31.3 to -31.1), coloured by each hole's maximum downhole gold grade on a log scale.</t>
  </si>
  <si>
    <t>绘制 Kambalda 一带(经度 121.5–121.8、纬度 -31.3~-31.1)钻孔孔口地图,按每孔孔内最高金品位对数着色。</t>
  </si>
  <si>
    <t>868 × 590 px</t>
  </si>
  <si>
    <t>862 × 578 px</t>
  </si>
  <si>
    <t>Execution succeeded; rerun image (868 × 590 px) is visually equivalent to the official gold image (862 × 578 px). Normalized image comparison: MAE 18.62, RMS 44.13.</t>
  </si>
  <si>
    <t>SS6-002</t>
  </si>
  <si>
    <t>Plot the downhole gold profile of drill hole 4136440: grade versus depth, with depth increasing downwards.</t>
  </si>
  <si>
    <t>绘制孔号 4136440 的 downhole 金品位曲线:品位随深度变化,深度向下递增。</t>
  </si>
  <si>
    <t>475 × 932 px</t>
  </si>
  <si>
    <t>471 × 928 px</t>
  </si>
  <si>
    <t>Execution succeeded; rerun image (475 × 932 px) is visually equivalent to the official gold image (471 × 928 px). Normalized image comparison: MAE 3.80, RMS 19.10.</t>
  </si>
  <si>
    <t>SS6-003</t>
  </si>
  <si>
    <t>Draw overlapping histograms of hole depth for the four regions (log-scale counts).</t>
  </si>
  <si>
    <t>绘制四个区域孔深的叠加直方图(计数取对数)。</t>
  </si>
  <si>
    <t>833 × 563 px</t>
  </si>
  <si>
    <t>831 × 559 px</t>
  </si>
  <si>
    <t>Execution succeeded; rerun image (833 × 563 px) is visually equivalent to the official gold image (831 × 559 px). Normalized image comparison: MAE 7.65, RMS 24.48.</t>
  </si>
  <si>
    <t>SS6-004</t>
  </si>
  <si>
    <t>Plot the trajectory of drill hole 4136440 in section view: horizontal displacement versus true vertical depth, computed from its downhole surveys by the average-angle method.</t>
  </si>
  <si>
    <t>以剖面视角绘制孔号 4136440 的孔迹:用平均角法从测斜记录计算水平位移与真垂深并作图。</t>
  </si>
  <si>
    <t>582 × 652 px</t>
  </si>
  <si>
    <t>580 × 648 px</t>
  </si>
  <si>
    <t>Execution succeeded; rerun image (582 × 652 px) is visually equivalent to the official gold image (580 × 648 px). Normalized image comparison: MAE 7.72, RMS 29.69.</t>
  </si>
  <si>
    <t>SS6-005</t>
  </si>
  <si>
    <t>Plot the natural gamma log (log type 'Gamma_Best') of drill hole 4219175 as a curve against depth.</t>
  </si>
  <si>
    <t>绘制孔号 4219175 的自然伽马测井曲线(log_type = 'Gamma_Best'),随深度变化。</t>
  </si>
  <si>
    <t>464 × 932 px</t>
  </si>
  <si>
    <t>461 × 928 px</t>
  </si>
  <si>
    <t>Execution succeeded; rerun image (464 × 932 px) is visually equivalent to the official gold image (461 × 928 px). Normalized image comparison: MAE 6.14, RMS 26.67.</t>
  </si>
  <si>
    <t>SS6-006</t>
  </si>
  <si>
    <t>Map drill collars in the Kambalda box (lon 121.5-121.8, lat -31.3 to -31.1) coloured by drilling method (top 4 methods).</t>
  </si>
  <si>
    <t>绘制 Kambalda 方框(经度 121.5–121.8、纬度 -31.3~-31.1)钻孔孔口地图,按钻探方法着色(前 4 种)。</t>
  </si>
  <si>
    <t>877 × 597 px</t>
  </si>
  <si>
    <t>873 × 593 px</t>
  </si>
  <si>
    <t>Execution succeeded; rerun image (877 × 597 px) is visually equivalent to the official gold image (873 × 593 px). Normalized image comparison: MAE 13.73, RMS 33.08.</t>
  </si>
  <si>
    <t>SS6-007</t>
  </si>
  <si>
    <t>Plot the downhole nickel profile of hole 2250375 (depth downwards).</t>
  </si>
  <si>
    <t>绘制孔号 2250375 的 downhole 镍品位曲线(深度向下)。</t>
  </si>
  <si>
    <t>464 × 840 px</t>
  </si>
  <si>
    <t>461 × 836 px</t>
  </si>
  <si>
    <t>Execution succeeded; rerun image (464 × 840 px) is visually equivalent to the official gold image (461 × 836 px). Normalized image comparison: MAE 4.51, RMS 21.01.</t>
  </si>
  <si>
    <t>SS6-008</t>
  </si>
  <si>
    <t>Scatter each Kalgoorlie-Kambalda hole's depth against its peak gold grade (log y-axis).</t>
  </si>
  <si>
    <t>散点图:Kalgoorlie–Kambalda 每孔孔深 vs 最高金品位(y 轴取对数)。</t>
  </si>
  <si>
    <t>843 × 563 px</t>
  </si>
  <si>
    <t>840 × 559 px</t>
  </si>
  <si>
    <t>Execution succeeded; rerun image (843 × 563 px) is visually equivalent to the official gold image (840 × 559 px). Normalized image comparison: MAE 5.51, RMS 19.44.</t>
  </si>
  <si>
    <t>SS6-009</t>
  </si>
  <si>
    <t>Plot dip versus depth for drill hole 4136440.</t>
  </si>
  <si>
    <t>绘制孔号 4136440 的倾角随深度变化曲线。</t>
  </si>
  <si>
    <t>568 × 747 px</t>
  </si>
  <si>
    <t>564 × 744 px</t>
  </si>
  <si>
    <t>Execution succeeded; rerun image (568 × 747 px) is visually equivalent to the official gold image (564 × 744 px). Normalized image comparison: MAE 5.37, RMS 22.26.</t>
  </si>
  <si>
    <t>SS6-010</t>
  </si>
  <si>
    <t>Plot the density log (log type 'Density_Best') of hole 4219175 against depth.</t>
  </si>
  <si>
    <t>绘制孔号 4219175 的密度测井曲线(log_type = 'Density_Best')随深度变化。</t>
  </si>
  <si>
    <t>Execution succeeded; rerun image (464 × 840 px) is visually equivalent to the official gold image (461 × 836 px). Normalized image comparison: MAE 4.51, RMS 20.41.</t>
  </si>
  <si>
    <t>SS6-011</t>
  </si>
  <si>
    <t>Histogram of assay interval lengths in the Kalgoorlie-Kambalda region (0-10 m range, log-scale counts).</t>
  </si>
  <si>
    <t>Kalgoorlie–Kambalda 区域化验区间长度直方图(0–10 m,计数取对数)。</t>
  </si>
  <si>
    <t>Execution succeeded; rerun image (833 × 563 px) is visually equivalent to the official gold image (831 × 559 px). Normalized image comparison: MAE 4.20, RMS 17.26.</t>
  </si>
  <si>
    <t>小倍图:Kalgoorlie–Kambalda 区域峰值品位最高、且化验区间不少于 50 个的 3 个孔的 downhole 金曲线,共享品位轴。</t>
  </si>
  <si>
    <t>Verified with caveat — tied peak-grade chart alternative</t>
  </si>
  <si>
    <t>SS6-013</t>
  </si>
  <si>
    <t>Compare magnetic susceptibility distributions of the Kalgoorlie-Kambalda and Pilbara-Newman regions with overlaid histograms (log x).</t>
  </si>
  <si>
    <t>用叠加直方图对比 Kalgoorlie–Kambalda 与 Pilbara–Newman 区域的磁化率分布(x 取对数)。</t>
  </si>
  <si>
    <t>836 × 566 px</t>
  </si>
  <si>
    <t>833 × 564 px</t>
  </si>
  <si>
    <t>Execution succeeded; rerun image (836 × 566 px) is visually equivalent to the official gold image (833 × 564 px). Normalized image comparison: MAE 2.87, RMS 13.32.</t>
  </si>
  <si>
    <t>SS6-014</t>
  </si>
  <si>
    <t>Map collar elevations in the Pilbara-Newman box (lon 119.25-120.0, lat -23.0 to -22.25), coloured by elevation.</t>
  </si>
  <si>
    <t>绘制 Pilbara–Newman 方框(经度 119.25–120.0、纬度 -23.0~-22.25)孔口标高地图,按标高着色。</t>
  </si>
  <si>
    <t>844 × 696 px</t>
  </si>
  <si>
    <t>838 × 693 px</t>
  </si>
  <si>
    <t>Execution succeeded; rerun image (844 × 696 px) is visually equivalent to the official gold image (838 × 693 px). Normalized image comparison: MAE 7.48, RMS 23.32.</t>
  </si>
  <si>
    <t>SS6-015</t>
  </si>
  <si>
    <t>Draw a simplified strip log for the hole with the most geology intervals in the Kalgoorlie-Kambalda region: coloured bars by lithology code down the hole (top 8 codes, others grey).</t>
  </si>
  <si>
    <t>为 Kalgoorlie–Kambalda 区域地质编录区间最多的孔绘制简化柱状图:沿孔按岩性代码着色(前 8 码,其余灰色)。</t>
  </si>
  <si>
    <t>529 × 880 px</t>
  </si>
  <si>
    <t>525 × 880 px</t>
  </si>
  <si>
    <t>Execution succeeded; rerun image (529 × 880 px) is visually equivalent to the official gold image (525 × 880 px). Normalized image comparison: MAE 2.86, RMS 15.57.</t>
  </si>
  <si>
    <t>CD1-001</t>
  </si>
  <si>
    <t>surface-drillhole spatial join</t>
  </si>
  <si>
    <t>How many stream sediment samples lie within 500 m of a drill hole whose maximum downhole nickel grade exceeds 1%?</t>
  </si>
  <si>
    <t>有多少水系沉积物样品位于最高孔内镍品位超过 1% 的钻孔 500 m 范围内?</t>
  </si>
  <si>
    <t>For the 10 highest measured soil gold samples, find the nearest drill hole, its distance in metres, and that hole's maximum downhole gold grade.</t>
  </si>
  <si>
    <t>对实测土壤金值最高的 10 个样品,找出各自最近的钻孔、距离(米)以及该孔的最高孔内金品位。</t>
  </si>
  <si>
    <t>CD1-003</t>
  </si>
  <si>
    <t>For each soil sample with lithium above 100 ppm, count how many drill holes lie within 1 km. What fraction of these samples has no hole at all within 1 km?</t>
  </si>
  <si>
    <t>对锂高于 100 ppm 的每个土壤样品,统计 1 km 内的钻孔数;完全无孔的样品占多大比例?</t>
  </si>
  <si>
    <t>CD1-004</t>
  </si>
  <si>
    <t>Which 10 primary-gold MINEDEX sites have the most rock chip samples within 2 km? Report site title and sample count.</t>
  </si>
  <si>
    <t>哪 10 个以金为主矿种的 MINEDEX 矿点 2 km 范围内岩屑样品最多?给出矿点名称和样品数。</t>
  </si>
  <si>
    <t>CD1-005</t>
  </si>
  <si>
    <t>Cross-database join: how many surface samples lie within 1 km of an A-database drill collar in the Kalgoorlie-Kambalda region (lon 121.0-122.0, lat -32.0 to -30.5)?</t>
  </si>
  <si>
    <t>跨库连接:Kalgoorlie–Kambalda 区域(经度 121.0–122.0、纬度 -32.0~-30.5)内,有多少地表样品位于 A 库钻孔孔口 1 km 范围内?</t>
  </si>
  <si>
    <t>CD1-006</t>
  </si>
  <si>
    <t>In the Kambalda box (lon 121.5-121.8, lat -31.3 to -31.1), how many rock chip samples lie within 500 m of a hole whose maximum downhole nickel exceeds 1%?</t>
  </si>
  <si>
    <t>Kambalda 方框(经度 121.5–121.8、纬度 -31.3~-31.1)内,有多少岩屑样品位于最高孔内镍超 1% 的钻孔 500 m 范围内?</t>
  </si>
  <si>
    <t>CD1-007</t>
  </si>
  <si>
    <t>How many surface samples lie within 250 m of an operating gold mine site?</t>
  </si>
  <si>
    <t>有多少地表样品位于在营金矿点 250 m 范围内?</t>
  </si>
  <si>
    <t>2 rows × 2 cols</t>
  </si>
  <si>
    <t>Execution succeeded; rerun output (2 rows × 2 cols) exactly matches the official gold artifact (2 rows × 2 cols).</t>
  </si>
  <si>
    <t>CD1-008</t>
  </si>
  <si>
    <t>For the 10 holes with the highest maximum downhole lithium, find the nearest soil sample and its lithium value — does surface lithium reflect the drilling result?</t>
  </si>
  <si>
    <t>对最高孔内锂品位最高的 10 个钻孔,找最近的土壤样品及其锂值——地表锂能否反映钻探结果?</t>
  </si>
  <si>
    <t>CD1-009</t>
  </si>
  <si>
    <t>How many drill holes fall inside mapped paleovalleys, and in which 5 paleovalleys are they most numerous?</t>
  </si>
  <si>
    <t>有多少钻孔落在填图古河道内?数量最多的 5 条古河道是哪些?</t>
  </si>
  <si>
    <t>CD1-010</t>
  </si>
  <si>
    <t>What fraction of all drill holes lies inside the mapped Eastern Goldfields Superterrane greenstones?</t>
  </si>
  <si>
    <t>全部钻孔中有多大比例落在 Eastern Goldfields Superterrane 绿岩带范围内?</t>
  </si>
  <si>
    <t>CD1-011</t>
  </si>
  <si>
    <t>What fraction of gold MINEDEX sites has at least one drill hole within 500 m?</t>
  </si>
  <si>
    <t>金 MINEDEX 矿点中有多大比例在 500 m 内至少有一个钻孔?</t>
  </si>
  <si>
    <t>CD1-012</t>
  </si>
  <si>
    <t>In the Kalgoorlie box (lon 121.2-121.8, lat -31.0 to -30.5), what is the median distance from soil gold anomalies (above 100 ppb) to the nearest mapped fault?</t>
  </si>
  <si>
    <t>Kalgoorlie 方框(经度 121.2–121.8、纬度 -31.0~-30.5)内,土壤金异常(&gt;100 ppb)到最近断层的中位距离是多少?</t>
  </si>
  <si>
    <t>CD1-013</t>
  </si>
  <si>
    <t>Cross-database: how many GSWA WACHEM samples lie within 5 km of an A-database collar in the Kalgoorlie-Kambalda region?</t>
  </si>
  <si>
    <t>跨库:有多少 GSWA WACHEM 样品位于 A 库 Kalgoorlie–Kambalda 区域孔口 5 km 范围内?</t>
  </si>
  <si>
    <t>CD1-014</t>
  </si>
  <si>
    <t>Count drill holes per greenstone terrane (holes falling inside each terrane's mapped polygons).</t>
  </si>
  <si>
    <t>按绿岩地体统计钻孔数(落入各地体多边形内的钻孔)。</t>
  </si>
  <si>
    <t>20 rows × 2 cols</t>
  </si>
  <si>
    <t>Execution succeeded; rerun output (20 rows × 2 cols) exactly matches the official gold artifact (20 rows × 2 cols).</t>
  </si>
  <si>
    <t>CD1-015</t>
  </si>
  <si>
    <t>For stream sediment samples in the Kalgoorlie-Kambalda box (lon 121.0-122.0, lat -32.0 to -30.5), summarize the distance to the nearest drill hole (quartiles).</t>
  </si>
  <si>
    <t>对 Kalgoorlie–Kambalda 方框(经度 121.0–122.0、纬度 -32.0~-30.5)内的水系沉积物样品,汇总其到最近钻孔的距离(四分位)。</t>
  </si>
  <si>
    <t>surface-subsurface consistency</t>
  </si>
  <si>
    <t>在土壤金异常点(高于 100 ppb)处,1 km 内最近钻孔的最高孔内品位是否也异常(≥1 g/t)?统计一致、不一致、1 km 内无孔各多少。</t>
  </si>
  <si>
    <t>CD2-002</t>
  </si>
  <si>
    <t>Is soil copper higher near known copper deposits? Compare the median measured soil Cu within 2 km of Cu-primary MINEDEX sites against soil samples more than 10 km away.</t>
  </si>
  <si>
    <t>已知铜矿点附近的土壤铜是否更高?对比距 Cu 主矿种 MINEDEX 矿点 2 km 内与 10 km 外土壤样品的实测 Cu 中位数。</t>
  </si>
  <si>
    <t>CD2-003</t>
  </si>
  <si>
    <t>Compare the rate of lithium-anomalous soil samples (Li above 100 ppm) inside mapped pegmatite bodies versus outside them.</t>
  </si>
  <si>
    <t>对比填图伟晶岩体内与体外土壤样品的锂异常率(Li 高于 100 ppm)。</t>
  </si>
  <si>
    <t>For the 10 strongest soil gold anomalies, tabulate surface gold in ppb alongside the nearest hole's maximum downhole grade in g/t, with the distance in metres — mind the units.</t>
  </si>
  <si>
    <t>对最强的 10 个土壤金异常,列表对比地表金(ppb)与最近钻孔最高孔内品位(g/t)及距离(米)——注意单位。</t>
  </si>
  <si>
    <t>CD2-005</t>
  </si>
  <si>
    <t>Non-spatial cross-check: how many distinct WAMEX report numbers behind the surface samples also appear as report numbers in the subsurface collar table?</t>
  </si>
  <si>
    <t>非空间交叉验证:地表样品背后的 WAMEX 报告号中,有多少也出现在地下库 collar 表的报告号里?</t>
  </si>
  <si>
    <t>CD2-006</t>
  </si>
  <si>
    <t>In the Kambalda box (lon 121.5-121.8, lat -31.3 to -31.1), for soil nickel anomalies (above 500 ppm), does the nearest hole within 1 km also show maximum downhole Ni above 1%? Report agree / disagree / no-hole counts.</t>
  </si>
  <si>
    <t>Kambalda 方框内(经度 121.5–121.8、纬度 -31.3~-31.1),土壤镍异常(&gt;500 ppm)处 1 km 内最近钻孔的最高孔内镍是否也超 1%?统计一致/不一致/无孔数量。</t>
  </si>
  <si>
    <t>CD2-007</t>
  </si>
  <si>
    <t>Compare anomaly rates by terrane: for the Eastern Goldfields Superterrane vs Youanmi Terrane, what fraction of stream sediment samples has Au above 20 ppb, and what fraction of holes has maximum downhole Au of at least 1 g/t?</t>
  </si>
  <si>
    <t>按地体对比异常率:Eastern Goldfields Superterrane 与 Youanmi Terrane 中,水系沉积物 Au&gt;20 ppb 的比例、钻孔最高孔内 Au≥1 g/t 的比例各是多少?</t>
  </si>
  <si>
    <t>2 rows × 5 cols</t>
  </si>
  <si>
    <t>Execution succeeded; rerun output (2 rows × 5 cols) exactly matches the official gold artifact (2 rows × 5 cols).</t>
  </si>
  <si>
    <t>Report-level lineage: for WAMEX report A75082, how many surface samples and how many drill holes does the database hold?</t>
  </si>
  <si>
    <t>报告级血缘:WAMEX 报告 A75082 在库中有多少地表样品和多少钻孔?</t>
  </si>
  <si>
    <t>CD2-009</t>
  </si>
  <si>
    <t>Is soil gold near operating gold mines elevated? Compare the median measured soil Au within 1 km of operating GOLD sites against the state-wide soil median.</t>
  </si>
  <si>
    <t>在营金矿 1 km 范围内的土壤金是否偏高?对比该范围内与全州土壤 Au 实测中位数。</t>
  </si>
  <si>
    <t>最高孔内铜品位最高的 10 个钻孔,其 2 km 内最近岩屑样品的铜值是多少(如有)?</t>
  </si>
  <si>
    <t>CD2-011</t>
  </si>
  <si>
    <t>Arsenic halo check: is median soil As within 1 km of holes whose maximum downhole As exceeds 1000 ppm higher than the state-wide soil As median?</t>
  </si>
  <si>
    <t>砷晕检验:最高孔内砷超 1000 ppm 的钻孔 1 km 范围内,土壤 As 中位数是否高于全州土壤中位数?</t>
  </si>
  <si>
    <t>CD2-012</t>
  </si>
  <si>
    <t>What fraction of mapped pegmatite bodies contains at least one drill hole with maximum downhole lithium above 500 ppm?</t>
  </si>
  <si>
    <t>填图伟晶岩体中有多大比例含有至少一个最高孔内锂超 500 ppm 的钻孔?</t>
  </si>
  <si>
    <t>For the 10 highest stream-sediment gold samples, tabulate the sample value in ppb against the nearest hole's maximum downhole gold in g/t and the distance.</t>
  </si>
  <si>
    <t>对水系沉积物金值最高的 10 个样品,列表对比样品值(ppb)、最近钻孔最高孔内金(g/t)与距离。</t>
  </si>
  <si>
    <t>CD2-014</t>
  </si>
  <si>
    <t>Distance-decay: in the Kalgoorlie box (lon 121.2-121.8, lat -31.0 to -30.5), what is the median measured soil gold in rings 0-1 km, 1-5 km and beyond 5 km from the nearest gold MINEDEX site?</t>
  </si>
  <si>
    <t>距离衰减:Kalgoorlie 方框(经度 121.2–121.8、纬度 -31.0~-30.5)内,距最近金矿点 0–1 km、1–5 km、5 km 外三个环带的土壤金实测中位数各是多少?</t>
  </si>
  <si>
    <t>CD2-015</t>
  </si>
  <si>
    <t>Within the Kalgoorlie-Kambalda bbox (lon 121.0-122.0, lat -32.0 to -30.5), how many 'anomalies' does each definition give: soil samples above 100 ppb Au versus holes with max downhole Au of at least 1 g/t?</t>
  </si>
  <si>
    <t>在 Kalgoorlie–Kambalda 方框内(经度 121.0–122.0、纬度 -32.0~-30.5),两种'异常'定义各给出多少个:土壤 Au&gt;100 ppb 的样品 vs 最高孔内 Au≥1 g/t 的钻孔?</t>
  </si>
  <si>
    <t>CD3-001</t>
  </si>
  <si>
    <t>targeting / spatial NOT EXISTS</t>
  </si>
  <si>
    <t>Find soil samples with anomalous gold (above 100 ppb) that have no drill hole within 2 km — potential undrilled targets. How many are there, and what are the 10 strongest?</t>
  </si>
  <si>
    <t>找出金异常(高于 100 ppb)但 2 km 内没有任何钻孔的土壤样品——潜在未钻探靶区。共多少个?最强的 10 个是哪些?</t>
  </si>
  <si>
    <t>CD3-002</t>
  </si>
  <si>
    <t>Lithium targets: find soil samples with Li above 100 ppm that are outside mapped pegmatite bodies and more than 1 km from any drill hole. How many, and list the top 10 by Li value.</t>
  </si>
  <si>
    <t>锂靶区:找出 Li 高于 100 ppm、位于填图伟晶岩体之外、且距任何钻孔超过 1 km 的土壤样品。共多少个?按 Li 值列出前 10。</t>
  </si>
  <si>
    <t>CD3-003</t>
  </si>
  <si>
    <t>Find stream sediment samples with nickel above 1000 ppm that have no nickel-bearing MINEDEX site (any commodity mentioning Ni) within 5 km. Report the count and the 10 highest Ni values.</t>
  </si>
  <si>
    <t>找出 Ni 高于 1000 ppm、且 5 km 内没有任何含镍 MINEDEX 矿点(商品列表提到 Ni)的水系沉积物样品。给出数量和 Ni 最高的 10 个。</t>
  </si>
  <si>
    <t>Structurally controlled undrilled targets: soil gold anomalies (above 100 ppb) within 500 m of a mapped fault but more than 2 km from any drill hole. How many, and the 10 strongest?</t>
  </si>
  <si>
    <t>构造控制的未钻探靶区:距填图断层 500 m 以内、但距任何钻孔超过 2 km 的土壤金异常(高于 100 ppb)。共多少个?最强的 10 个?</t>
  </si>
  <si>
    <t>CD3-005</t>
  </si>
  <si>
    <t>Within the Eastern Goldfields Superterrane, find soil gold anomalies (above 100 ppb) with no drilling within 2 km. Report the count and the 10 strongest.</t>
  </si>
  <si>
    <t>在 Eastern Goldfields Superterrane 范围内,找出 2 km 内无钻探的土壤金异常(高于 100 ppb)。给出数量和最强的 10 个。</t>
  </si>
  <si>
    <t>CD3-006</t>
  </si>
  <si>
    <t>Copper targets: stream sediment samples above the 99th percentile of measured stream Cu with no drill hole within 2 km. Count them and list the top 10.</t>
  </si>
  <si>
    <t>铜靶区:高于水系铜实测 99 分位、且 2 km 内无钻孔的水系沉积物样品。给出数量和前 10。</t>
  </si>
  <si>
    <t>CD3-007</t>
  </si>
  <si>
    <t>Tungsten targets: stream sediment samples with W above 20 ppm that have no tungsten-commodity MINEDEX site within 10 km.</t>
  </si>
  <si>
    <t>钨靶区:W 高于 20 ppm、且 10 km 内没有任何钨商品 MINEDEX 矿点的水系沉积物样品。</t>
  </si>
  <si>
    <t>CD3-008</t>
  </si>
  <si>
    <t>Strong gold targets: soil samples above 0.5 ppm Au with no drilling within 5 km — count and top 10.</t>
  </si>
  <si>
    <t>强金靶区:土壤 Au 高于 0.5 ppm、5 km 内无钻探的样品——数量与前 10。</t>
  </si>
  <si>
    <t>Which mapped pegmatite bodies have no drill hole within 500 m? List the 10 largest such bodies by area.</t>
  </si>
  <si>
    <t>哪些填图伟晶岩体 500 m 内没有任何钻孔?按面积列出最大的 10 个。</t>
  </si>
  <si>
    <t>CD3-010</t>
  </si>
  <si>
    <t>Reverse gap: which operating gold mine sites have no surface sample within 1 km (a surface-geochemistry blind spot)?</t>
  </si>
  <si>
    <t>反向缺口:哪些在营金矿点 1 km 内没有任何地表样品(地表地球化学盲区)?</t>
  </si>
  <si>
    <t>6 rows × 2 cols</t>
  </si>
  <si>
    <t>Execution succeeded; rerun output (6 rows × 2 cols) exactly matches the official gold artifact (6 rows × 2 cols).</t>
  </si>
  <si>
    <t>CD3-011</t>
  </si>
  <si>
    <t>Per-fault targeting in the Kalgoorlie-Kambalda box (lon 121.0-122.0, lat -32.0 to -30.5): which named faults have the most undrilled soil gold anomalies (above 100 ppb, no hole within 2 km) within 1 km of their trace?</t>
  </si>
  <si>
    <t>Kalgoorlie–Kambalda 方框(经度 121.0–122.0、纬度 -32.0~-30.5)分断层靶区:哪些具名断层 1 km 走廊内的未钻探土壤金异常(&gt;100 ppb 且 2 km 无孔)最多?</t>
  </si>
  <si>
    <t>CD3-012</t>
  </si>
  <si>
    <t>Rock-chip gold targets inside greenstones: samples above 1 ppm Au within the Eastern Goldfields Superterrane but more than 3 km from any drill hole.</t>
  </si>
  <si>
    <t>绿岩带内的岩屑金靶区:Eastern Goldfields Superterrane 内 Au 高于 1 ppm、且距任何钻孔超过 3 km 的样品。</t>
  </si>
  <si>
    <t>Groundwater gold leads: for every bore with gold in groundwater above 100 ng/L, report the distance to the nearest drill hole and flag those more than 1 km from any drilling (least-tested leads first).</t>
  </si>
  <si>
    <t>地下水找金线索:对每个水中金高于 100 ng/L 的取样孔,报告到最近钻孔的距离,并标记距任何钻探超过 1 km 的孔(检验最少的排前)。</t>
  </si>
  <si>
    <t>11 rows × 4 cols</t>
  </si>
  <si>
    <t>Execution succeeded; rerun output (11 rows × 4 cols) exactly matches the official gold artifact (11 rows × 4 cols).</t>
  </si>
  <si>
    <t>CD3-014</t>
  </si>
  <si>
    <t>Multi-element targets: soil samples anomalous in BOTH As and Sb (each above its own 95th percentile) with no drill hole within 2 km.</t>
  </si>
  <si>
    <t>多元素靶区:As 与 Sb 同时异常(各高于自身 95 分位)、且 2 km 内无钻孔的土壤样品。</t>
  </si>
  <si>
    <t>CD3-015</t>
  </si>
  <si>
    <t>Which mapped paleovalleys contain no drill hole at all? List them with their areas.</t>
  </si>
  <si>
    <t>哪些填图古河道内完全没有钻孔?列出名称与面积。</t>
  </si>
  <si>
    <t>overlay visualization</t>
  </si>
  <si>
    <t>In the Kambalda area (lon 121.5-121.8, lat -31.3 to -31.1), map soil gold anomalies (above 100 ppb) together with drill holes coloured by their maximum downhole gold grade.</t>
  </si>
  <si>
    <t>在 Kambalda 一带(经度 121.5–121.8、纬度 -31.3~-31.1),将土壤金异常(高于 100 ppb)与按最高孔内金品位着色的钻孔叠加成图。</t>
  </si>
  <si>
    <t>952 × 682 px</t>
  </si>
  <si>
    <t>946 × 682 px</t>
  </si>
  <si>
    <t>Execution succeeded; rerun image (952 × 682 px) is visually equivalent to the official gold image (946 × 682 px). Normalized image comparison: MAE 4.89, RMS 14.71.</t>
  </si>
  <si>
    <t>CD4-002</t>
  </si>
  <si>
    <t>Map the lithium exploration picture of the Kalgoorlie-Kambalda region (lon 121.0-122.0, lat -32.0 to -30.5): pegmatite outlines, lithium-anomalous soil samples (Li above 100 ppm) and drill holes with maximum downhole Li above 500 ppm.</t>
  </si>
  <si>
    <t>绘制 Kalgoorlie–Kambalda 区域(经度 121.0–122.0、纬度 -32.0~-30.5)的锂勘查图景:伟晶岩体轮廓、锂异常土壤样品(Li 高于 100 ppm)、最高孔内 Li 高于 500 ppm 的钻孔。</t>
  </si>
  <si>
    <t>655 × 932 px</t>
  </si>
  <si>
    <t>652 × 928 px</t>
  </si>
  <si>
    <t>Execution succeeded; rerun image (655 × 932 px) is visually equivalent to the official gold image (652 × 928 px). Normalized image comparison: MAE 4.49, RMS 18.56.</t>
  </si>
  <si>
    <t>CD4-003</t>
  </si>
  <si>
    <t>For the Kalgoorlie area (lon 121.2-121.8, lat -31.0 to -30.5), overlay mapped faults, copper-anomalous soil samples (above the 95th percentile of measured soil Cu in the box) and Cu-primary MINEDEX sites.</t>
  </si>
  <si>
    <t>在 Kalgoorlie 一带(经度 121.2–121.8、纬度 -31.0~-30.5),叠加填图断层、铜异常土壤样品(高于框内实测土壤 Cu 的 95 分位)与 Cu 主矿种 MINEDEX 矿点。</t>
  </si>
  <si>
    <t>747 × 747 px</t>
  </si>
  <si>
    <t>744 × 744 px</t>
  </si>
  <si>
    <t>Execution succeeded; rerun image (747 × 747 px) is visually equivalent to the official gold image (744 × 744 px). Normalized image comparison: MAE 8.90, RMS 23.67.</t>
  </si>
  <si>
    <t>CD4-004</t>
  </si>
  <si>
    <t>Two-panel comparison for the Kambalda box (lon 121.5-121.8, lat -31.3 to -31.1): left, soil gold sampling density (hexbin); right, drill holes coloured by maximum downhole gold. Same extent on both panels.</t>
  </si>
  <si>
    <t>Kambalda 方框(经度 121.5–121.8、纬度 -31.3~-31.1)双面板对比:左图土壤金采样密度(hexbin),右图按最高孔内金着色的钻孔。两图范围一致。</t>
  </si>
  <si>
    <t>1,362 × 662 px</t>
  </si>
  <si>
    <t>1,357 × 661 px</t>
  </si>
  <si>
    <t>Execution succeeded; rerun image (1,362 × 662 px) is visually equivalent to the official gold image (1,357 × 661 px). Normalized image comparison: MAE 3.15, RMS 10.43.</t>
  </si>
  <si>
    <t>CD4-005</t>
  </si>
  <si>
    <t>Map stream-sediment gold anomalies (above 20 ppb) on top of the Eastern Goldfields Superterrane greenstone outlines, over the extent lon 120-124, lat -32 to -27.</t>
  </si>
  <si>
    <t>在 Eastern Goldfields Superterrane 绿岩带轮廓之上叠加水系沉积物金异常(高于 20 ppb),范围经度 120–124、纬度 -32~-27。</t>
  </si>
  <si>
    <t>697 × 932 px</t>
  </si>
  <si>
    <t>693 × 928 px</t>
  </si>
  <si>
    <t>Execution succeeded; rerun image (697 × 932 px) is visually equivalent to the official gold image (693 × 928 px). Normalized image comparison: MAE 4.84, RMS 15.93.</t>
  </si>
  <si>
    <t>CD4-006</t>
  </si>
  <si>
    <t>Kambalda nickel story (lon 121.5-121.8, lat -31.3 to -31.1): overlay ultramafic geology outlines, soil Ni anomalies (above 500 ppm) and holes with maximum downhole Ni above 1%.</t>
  </si>
  <si>
    <t>Kambalda 镍故事(经度 121.5–121.8、纬度 -31.3~-31.1):叠加超镁铁质地质体轮廓、土壤镍异常(&gt;500 ppm)与最高孔内镍超 1% 的钻孔。</t>
  </si>
  <si>
    <t>555 × 747 px</t>
  </si>
  <si>
    <t>552 × 744 px</t>
  </si>
  <si>
    <t>Execution succeeded; rerun image (555 × 747 px) is visually equivalent to the official gold image (552 × 744 px). Normalized image comparison: MAE 6.89, RMS 23.47.</t>
  </si>
  <si>
    <t>CD4-007</t>
  </si>
  <si>
    <t>Map tungsten prospectivity across northern WA (lon 115.5-128, lat -25 to -17): stream W anomalies (above 20 ppm) with W-commodity MINEDEX sites.</t>
  </si>
  <si>
    <t>WA 北部(经度 115.5–128、纬度 -25~-17)钨远景图:水系 W 异常(&gt;20 ppm)与含钨 MINEDEX 矿点。</t>
  </si>
  <si>
    <t>750 × 763 px</t>
  </si>
  <si>
    <t>746 × 763 px</t>
  </si>
  <si>
    <t>Execution succeeded; rerun image (750 × 763 px) is visually equivalent to the official gold image (746 × 763 px). Normalized image comparison: MAE 2.87, RMS 12.76.</t>
  </si>
  <si>
    <t>CD4-008</t>
  </si>
  <si>
    <t>Overlay gold MINEDEX sites on a drilling-density hexbin for the Kalgoorlie-Kambalda box (lon 121.0-122.0, lat -32.0 to -30.5).</t>
  </si>
  <si>
    <t>在 Kalgoorlie–Kambalda 方框(经度 121.0–122.0、纬度 -32.0~-30.5)的钻探密度 hexbin 上叠加金 MINEDEX 矿点。</t>
  </si>
  <si>
    <t>739 × 840 px</t>
  </si>
  <si>
    <t>734 × 836 px</t>
  </si>
  <si>
    <t>Execution succeeded; rerun image (739 × 840 px) is visually equivalent to the official gold image (734 × 836 px). Normalized image comparison: MAE 6.93, RMS 19.03.</t>
  </si>
  <si>
    <t>CD4-009</t>
  </si>
  <si>
    <t>Structure vs grade: for the Kalgoorlie box (lon 121.2-121.8, lat -31.0 to -30.5), draw faults over drill holes coloured by maximum downhole gold (log).</t>
  </si>
  <si>
    <t>构造与品位:Kalgoorlie 方框(经度 121.2–121.8、纬度 -31.0~-30.5)中,断层线叠加按最高孔内金(log)着色的钻孔。</t>
  </si>
  <si>
    <t>851 × 705 px</t>
  </si>
  <si>
    <t>846 × 701 px</t>
  </si>
  <si>
    <t>Execution succeeded; rerun image (851 × 705 px) is visually equivalent to the official gold image (846 × 701 px). Normalized image comparison: MAE 10.78, RMS 25.53.</t>
  </si>
  <si>
    <t>CD4-010</t>
  </si>
  <si>
    <t>Not a map: histogram of the distance from each soil gold anomaly (above 100 ppb) in the Kalgoorlie box (lon 121.2-121.8, lat -31.0 to -30.5) to its nearest drill hole, marking the 2 km targeting cutoff.</t>
  </si>
  <si>
    <t>非地图题:Kalgoorlie 方框(经度 121.2–121.8、纬度 -31.0~-30.5)内每个土壤金异常(&gt;100 ppb)到最近钻孔距离的直方图,标出 2 km 靶区线。</t>
  </si>
  <si>
    <t>Execution succeeded; rerun image (833 × 563 px) is visually equivalent to the official gold image (831 × 559 px). Normalized image comparison: MAE 4.69, RMS 18.90.</t>
  </si>
  <si>
    <t>CD4-011</t>
  </si>
  <si>
    <t>State-wide overlay: mapped paleovalleys with all drill holes (subsampled for plotting).</t>
  </si>
  <si>
    <t>全州叠合:填图古河道与全部钻孔(绘图抽稀)。</t>
  </si>
  <si>
    <t>702 × 932 px</t>
  </si>
  <si>
    <t>699 × 928 px</t>
  </si>
  <si>
    <t>Execution succeeded; rerun image (702 × 932 px) is visually equivalent to the official gold image (699 × 928 px). Normalized image comparison: MAE 7.76, RMS 19.88.</t>
  </si>
  <si>
    <t>CD4-012</t>
  </si>
  <si>
    <t>Two panels for the Kalgoorlie-Kambalda box (lon 121.0-122.0, lat -32.0 to -30.5): left, soil lithium samples above 100 ppm; right, holes with maximum downhole Li above 500 ppm. Same extent.</t>
  </si>
  <si>
    <t>Kalgoorlie–Kambalda 方框(经度 121.0–122.0、纬度 -32.0~-30.5)双面板:左为 Li&gt;100 ppm 的土壤样品,右为最高孔内 Li&gt;500 ppm 的钻孔,范围一致。</t>
  </si>
  <si>
    <t>1,114 × 702 px</t>
  </si>
  <si>
    <t>1,110 × 698 px</t>
  </si>
  <si>
    <t>Execution succeeded; rerun image (1,114 × 702 px) is visually equivalent to the official gold image (1,110 × 698 px). Normalized image comparison: MAE 2.96, RMS 13.16.</t>
  </si>
  <si>
    <t>区域背景图:Eastern Goldfields Superterrane 轮廓、在营金矿、以及人口超 1000 的城镇并标注镇名(经度 119–125、纬度 -33~-27)。</t>
  </si>
  <si>
    <t>CD4-014</t>
  </si>
  <si>
    <t>Agreement map for the Kambalda box (lon 121.5-121.8, lat -31.3 to -31.1): soil gold anomalies (above 100 ppb) coloured by whether the nearest hole within 1 km confirms (max downhole Au at least 1 g/t), contradicts, or is absent.</t>
  </si>
  <si>
    <t>Kambalda 方框(经度 121.5–121.8、纬度 -31.3~-31.1)一致性地图:土壤金异常(&gt;100 ppb)按 1 km 内最近钻孔是证实(最高孔内 Au≥1 g/t)、矛盾还是缺失着色。</t>
  </si>
  <si>
    <t>871 × 747 px</t>
  </si>
  <si>
    <t>867 × 744 px</t>
  </si>
  <si>
    <t>Execution succeeded; rerun image (871 × 747 px) is visually equivalent to the official gold image (867 × 744 px). Normalized image comparison: MAE 4.47, RMS 17.93.</t>
  </si>
  <si>
    <t>CD4-015</t>
  </si>
  <si>
    <t>Plot WACHEM samples whose lithology name contains 'basalt' over greenstone belt polygons, state-wide.</t>
  </si>
  <si>
    <t>全州范围内,将岩性名含 'basalt' 的 WACHEM 样品叠加在绿岩带多边形上。</t>
  </si>
  <si>
    <t>640 × 932 px</t>
  </si>
  <si>
    <t>638 × 928 px</t>
  </si>
  <si>
    <t>Execution succeeded; rerun image (640 × 932 px) is visually equivalent to the official gold image (638 × 928 px). Normalized image comparison: MAE 7.24, RMS 25.03.</t>
  </si>
  <si>
    <t>RB-001</t>
  </si>
  <si>
    <t>R-schema</t>
  </si>
  <si>
    <t>List rock chip samples with sulfur above 1%, showing sample ID and the sulfur value.</t>
  </si>
  <si>
    <t>列出硫含量高于 1% 的岩屑样品,给出样品编号和硫值。</t>
  </si>
  <si>
    <t>1,556 rows × 2 cols</t>
  </si>
  <si>
    <t>Execution succeeded; rerun output (1,556 rows × 2 cols) exactly matches the official gold artifact (1,556 rows × 2 cols).</t>
  </si>
  <si>
    <t>List assay intervals with sulfur above 1% in the Kalgoorlie-Kambalda region, showing hole ID, depths and the sulfur value.</t>
  </si>
  <si>
    <t>列出 Kalgoorlie–Kambalda 区域中硫含量高于 1% 的化验区间,给出孔号、深度和硫值。</t>
  </si>
  <si>
    <t>117,551 rows × 4 cols</t>
  </si>
  <si>
    <t>Execution succeeded; rerun and gold contain the same rows and values (117,551 rows × 4 cols); only row ordering differs.</t>
  </si>
  <si>
    <t>RB-003</t>
  </si>
  <si>
    <t>R-unans</t>
  </si>
  <si>
    <t>Which surface geochemistry samples have platinum above 50 ppb?</t>
  </si>
  <si>
    <t>哪些地表地球化学样品的铂含量超过 50 ppb?</t>
  </si>
  <si>
    <t>Execution succeeded; rerun output (n/a) exactly matches the official gold artifact (n/a).</t>
  </si>
  <si>
    <t>RB-004</t>
  </si>
  <si>
    <t>In the GSWA WACHEM reference dataset, which samples have platinum above 50 ppb? Report sample ID, lithology and Pt value.</t>
  </si>
  <si>
    <t>在 GSWA WACHEM 参考数据集中,哪些样品铂含量超过 50 ppb?给出样品编号、岩性和 Pt 值。</t>
  </si>
  <si>
    <t>49 rows × 3 cols</t>
  </si>
  <si>
    <t>Execution succeeded; rerun output (49 rows × 3 cols) exactly matches the official gold artifact (49 rows × 3 cols).</t>
  </si>
  <si>
    <t>R-ambig</t>
  </si>
  <si>
    <t>Show me the high-grade drill holes.</t>
  </si>
  <si>
    <t>给我看看高品位的钻孔。</t>
  </si>
  <si>
    <t>103,412 rows × 4 cols</t>
  </si>
  <si>
    <t>Execution succeeded; rerun and gold contain the same rows and values (103,412 rows × 4 cols); only row ordering differs.</t>
  </si>
  <si>
    <t>RB-006</t>
  </si>
  <si>
    <t>Which surface samples are near Kambalda?</t>
  </si>
  <si>
    <t>哪些地表样品在 Kambalda 附近?</t>
  </si>
  <si>
    <t>9,295 rows × 3 cols</t>
  </si>
  <si>
    <t>Execution succeeded; rerun and gold contain the same rows and values (9,295 rows × 3 cols); only row ordering differs.</t>
  </si>
  <si>
    <t>RB-007</t>
  </si>
  <si>
    <t>List drill holes with uranium assays above 100 ppm.</t>
  </si>
  <si>
    <t>列出铀化验值超过 100 ppm 的钻孔。</t>
  </si>
  <si>
    <t>R-para</t>
  </si>
  <si>
    <t>For drill hole 4136440, list the continuous runs of good gold mineralisation: merge neighbouring assay intervals, skip barren stretches thinner than 2 m inside a run, and keep runs at least 4 m long averaging at least 0.5 g/t when weighted by interval length.</t>
  </si>
  <si>
    <t>对孔号 4136440,列出连续的良好金矿化段:合并相邻化验区间,跳过段内薄于 2 m 的贫矿夹层,保留长度不小于 4 m、按区间长度加权平均不低于 0.5 g/t 的段。</t>
  </si>
  <si>
    <t>Client Requirement Traceability</t>
  </si>
  <si>
    <t>What the client requested in the supplied transcript and how the consolidated error report implements it.</t>
  </si>
  <si>
    <t>Requirement</t>
  </si>
  <si>
    <t>Report implementation</t>
  </si>
  <si>
    <t>Status</t>
  </si>
  <si>
    <t>Validate supplied code; do not generate replacement queries</t>
  </si>
  <si>
    <t>Client meeting transcript, 04:01</t>
  </si>
  <si>
    <t>The workbook reports execution and semantic validity. Original code is preserved only for the four correction cases; no replacement query is supplied.</t>
  </si>
  <si>
    <t>Met</t>
  </si>
  <si>
    <t>Record whether each query passes and whether its output matches</t>
  </si>
  <si>
    <t>Client meeting transcript, 04:01 and 05:42</t>
  </si>
  <si>
    <t>All 233 rows show execution status, final category, verdict, actual/gold output summaries and evidence.</t>
  </si>
  <si>
    <t>Include an output record for every query</t>
  </si>
  <si>
    <t>Client meeting transcript, 05:02</t>
  </si>
  <si>
    <t>The Full 233 Validation sheet records actual and gold output shape for every benchmark case.</t>
  </si>
  <si>
    <t>Provide maps/charts or visual summaries</t>
  </si>
  <si>
    <t>Client meeting transcript, 04:17</t>
  </si>
  <si>
    <t>The Executive Summary and Data Quality sheets contain native Excel charts; detailed per-query visualisations remain in the existing verification workbook.</t>
  </si>
  <si>
    <t>Use red for query/output problems and orange for source-data concerns</t>
  </si>
  <si>
    <t>Client meeting transcript, 05:42–05:54</t>
  </si>
  <si>
    <t>Red identifies the four queries needing correction. Amber/orange identifies tie caveats and sentinel/null/data-quality warnings. A blue category distinguishes the defective gold file.</t>
  </si>
  <si>
    <t>Treat -999/-9999 as source-data sentinels, not automatically as code failures</t>
  </si>
  <si>
    <t>Client discussion supplied in chat, 16:42–17:31</t>
  </si>
  <si>
    <t>Sentinels are recorded as data-quality warnings unless they change the requested calculation or make selection nondeterministic.</t>
  </si>
  <si>
    <t>Combine individual verification into one error report</t>
  </si>
  <si>
    <t>Client discussion supplied in chat, 18:52–19:16</t>
  </si>
  <si>
    <t>This workbook consolidates the complete runtime audit and all three uploaded reviewer logs into one client-facing report.</t>
  </si>
  <si>
    <t>Important classification rule: red is reserved for a supplied-query defect or unstable outcome. Orange is a source-data or presentation concern. Blue is used when the query is correct but the official gold artifact is defective.</t>
  </si>
  <si>
    <t>Validated Dataset Inventory</t>
  </si>
  <si>
    <t>Parquet tables used by the complete execution audit. Hashes provide a reproducible link to the tested database state.</t>
  </si>
  <si>
    <t>Database</t>
  </si>
  <si>
    <t>Table</t>
  </si>
  <si>
    <t>Rows</t>
  </si>
  <si>
    <t>Columns</t>
  </si>
  <si>
    <t>Source file</t>
  </si>
  <si>
    <t>SHA-256</t>
  </si>
  <si>
    <t>A_subsurface</t>
  </si>
  <si>
    <t>collar</t>
  </si>
  <si>
    <t>hole_id;hole_name;company_hole_id;anumber;company_id;hole_type;max_depth_m;longitude;latitude;region</t>
  </si>
  <si>
    <t>database/A_subsurface/collar.parquet</t>
  </si>
  <si>
    <t>0d0eaca7d57bcda58383ea0774b2a329b4aaf7af3d1b881bfdcf04ced31aeabd</t>
  </si>
  <si>
    <t>collar_coordinate</t>
  </si>
  <si>
    <t>hole_id;easting;northing;datum;projection;zone;accuracy</t>
  </si>
  <si>
    <t>database/A_subsurface/collar_coordinate.parquet</t>
  </si>
  <si>
    <t>8ae3849bf47eed0ad87b7accdf1de9c1817d1a4fb8bfd4d44c5c1704eb5370bc</t>
  </si>
  <si>
    <t>collar_elevation</t>
  </si>
  <si>
    <t>hole_id;elevation_m;elevation_uom;height_datum;capture_method</t>
  </si>
  <si>
    <t>database/A_subsurface/collar_elevation.parquet</t>
  </si>
  <si>
    <t>e1fe3625defdef75ec7e5b56920c02099ecd79f93c3b06882c34abba814b7adc</t>
  </si>
  <si>
    <t>dh_alteration</t>
  </si>
  <si>
    <t>hole_id;from_depth_m;to_depth_m;alt_code;intensity;style;assemblage</t>
  </si>
  <si>
    <t>database/A_subsurface/dh_alteration.parquet</t>
  </si>
  <si>
    <t>5f72e3f8760fcd9d77bd70de3cc755264cc6a26d4acdb23bcc74ed1143d3ae45</t>
  </si>
  <si>
    <t>dh_assay</t>
  </si>
  <si>
    <t>hole_id;from_depth_m;to_depth_m;au_ppm;ag_ppm;as_ppm;cu_ppm;ni_ppm;co_ppm;zn_ppm;pb_ppm;fe_ppm;s_ppm;mg_ppm;li_ppm;cr_ppm;mn_ppm;w_ppm;sn_ppm;ta_ppm;bi_ppm;mo_ppm;sb_ppm</t>
  </si>
  <si>
    <t>database/A_subsurface/dh_assay.parquet</t>
  </si>
  <si>
    <t>c123e3ad7ab22f6a6b88d5570ae0e465a0525612828deebbaa509d772c7abae5</t>
  </si>
  <si>
    <t>dh_geology</t>
  </si>
  <si>
    <t>hole_id;from_depth_m;to_depth_m;lith_code;colour;oxidation;grain_size;texture;structure;strat_unit;weathering;comments;lith_code_source</t>
  </si>
  <si>
    <t>database/A_subsurface/dh_geology.parquet</t>
  </si>
  <si>
    <t>ef4cdb76953689aadd910c0bbfc83658295587bf07856f050e9b9187b02fb48b</t>
  </si>
  <si>
    <t>dh_geophysics</t>
  </si>
  <si>
    <t>hole_id;from_depth_m;to_depth_m;log_type;value</t>
  </si>
  <si>
    <t>database/A_subsurface/dh_geophysics.parquet</t>
  </si>
  <si>
    <t>66ffc5282ef9381d675aa1fdbb4e3f1c4c6dd658cae3a48e732f2fe98fce1b47</t>
  </si>
  <si>
    <t>dh_geotech</t>
  </si>
  <si>
    <t>hole_id;from_depth_m;to_depth_m;rqd_pct;recovery_pct;num_fractures;num_joint_sets;roughness;infill_type</t>
  </si>
  <si>
    <t>database/A_subsurface/dh_geotech.parquet</t>
  </si>
  <si>
    <t>18cedf05b922393ffef90e11ef2f482715f92647a4c8cd1301adf1d2839e769e</t>
  </si>
  <si>
    <t>dh_magsus</t>
  </si>
  <si>
    <t>hole_id;from_depth_m;to_depth_m;mag_sus_si</t>
  </si>
  <si>
    <t>database/A_subsurface/dh_magsus.parquet</t>
  </si>
  <si>
    <t>609ec47fe00125fbe50210b866592da48b07241824dbb317b342a0a2d3d6e01a</t>
  </si>
  <si>
    <t>dh_mineralogy</t>
  </si>
  <si>
    <t>hole_id;from_depth_m;to_depth_m;mineral_code;mineral_pct;style;mineral2_code;mineral2_pct</t>
  </si>
  <si>
    <t>database/A_subsurface/dh_mineralogy.parquet</t>
  </si>
  <si>
    <t>c6e9aca349f17a79c0e0d6ea4ce20833d0572a6830d7b3f1bf4b55cdb1275744</t>
  </si>
  <si>
    <t>dh_recovery</t>
  </si>
  <si>
    <t>hole_id;from_depth_m;to_depth_m;sample_id;sample_type;sample_method;sample_recovery;sample_condition</t>
  </si>
  <si>
    <t>database/A_subsurface/dh_recovery.parquet</t>
  </si>
  <si>
    <t>e8674c9969743f556deeb4a19be8e4ac1a6dd27ce1b3ca0c1f264db12488c615</t>
  </si>
  <si>
    <t>dh_regolith</t>
  </si>
  <si>
    <t>hole_id;from_depth_m;to_depth_m;regolith_code;qualifier;description;regime_code</t>
  </si>
  <si>
    <t>database/A_subsurface/dh_regolith.parquet</t>
  </si>
  <si>
    <t>bc9091c5d0866dae0dfb8d5cbcb2305d92becbfdc1105455f6917a16a308e70c</t>
  </si>
  <si>
    <t>dh_specgrav</t>
  </si>
  <si>
    <t>hole_id;from_depth_m;to_depth_m;sg_reading;sg_method;wet_weight_g;dry_weight_g;sample_type</t>
  </si>
  <si>
    <t>database/A_subsurface/dh_specgrav.parquet</t>
  </si>
  <si>
    <t>f002684e767619e56c02ec9b0b75f0a04a4918d41b7f4c4a8b7d05cdea79b2b1</t>
  </si>
  <si>
    <t>dh_structure</t>
  </si>
  <si>
    <t>hole_id;from_depth_m;to_depth_m;structure_type;alpha;beta;width;lith_code</t>
  </si>
  <si>
    <t>database/A_subsurface/dh_structure.parquet</t>
  </si>
  <si>
    <t>8563b85068714f2d0e5788ddf29fec9d00f0edf2618dd245659fc2cf6b3543e4</t>
  </si>
  <si>
    <t>dh_survey</t>
  </si>
  <si>
    <t>hole_id;depth_m;dip;azimuth;survey_method;date_surveyed;mag_azimuth</t>
  </si>
  <si>
    <t>database/A_subsurface/dh_survey.parquet</t>
  </si>
  <si>
    <t>f52c031eb08075c59e6ba380779eb19b9bf1adbf81af99cc9dec145ea6925135</t>
  </si>
  <si>
    <t>dh_veining</t>
  </si>
  <si>
    <t>hole_id;from_depth_m;to_depth_m;vein_style;vein_composition;vein_pct;vein_code;accessory_mineral</t>
  </si>
  <si>
    <t>database/A_subsurface/dh_veining.parquet</t>
  </si>
  <si>
    <t>1a058ea442b1c6f106cd6e4ceec0cfc46e4d001f554484bcb2d36da93423c741</t>
  </si>
  <si>
    <t>dh_weathering</t>
  </si>
  <si>
    <t>hole_id;from_depth_m;to_depth_m;weathering_code;oxidation;regolith_code;qualifier</t>
  </si>
  <si>
    <t>database/A_subsurface/dh_weathering.parquet</t>
  </si>
  <si>
    <t>d5146b9ed667cf9828e304a55a643517f89e3a77752b7ff35952c12b636cd7ce</t>
  </si>
  <si>
    <t>lookup_hole_type</t>
  </si>
  <si>
    <t>code;value;description;displayname</t>
  </si>
  <si>
    <t>database/A_subsurface/lookup_hole_type.parquet</t>
  </si>
  <si>
    <t>634ba63ae8edb6ca6a97013c9bf7f24c7fefb59a485b61af4b7387025d0f904d</t>
  </si>
  <si>
    <t>lookup_uom</t>
  </si>
  <si>
    <t>database/A_subsurface/lookup_uom.parquet</t>
  </si>
  <si>
    <t>1a30d82a750940b185f4305a679ddb0660efdb4d9693597e29a58a4487120898</t>
  </si>
  <si>
    <t>B_surface</t>
  </si>
  <si>
    <t>basin</t>
  </si>
  <si>
    <t>tectno;tect_code;tect_name;tect_type;lithology;tect_setting;parent_name;craton;geometry</t>
  </si>
  <si>
    <t>database/B_surface/basin.parquet</t>
  </si>
  <si>
    <t>6f98719b3b891a58c1d3df00101465d6d0e9b98679999b49525e9881f8ddcf56</t>
  </si>
  <si>
    <t>drillhole_maxgrade</t>
  </si>
  <si>
    <t>hole_ref;wamex_anumber;comp_sample_id;geometry;ag_ppm;as_ppm;au_ppm;bi_ppm;ca_ppm;co_ppm;cr_ppm;cu_ppm;fe_ppm;k_ppm;li_ppm;mg_ppm;mn_ppm;mo_ppm;ni_ppm;p_ppm;pb_ppm;s_pct;sb_ppm;sn_ppm;ta_ppm;ti_ppm;v_ppm;w_ppm;zn_ppm;zr_ppm</t>
  </si>
  <si>
    <t>database/B_surface/drillhole_maxgrade.parquet</t>
  </si>
  <si>
    <t>15a3516e4a326b683f89832d3e6fa6cab03a7f797e83ce13ee3aabe3ff65680f</t>
  </si>
  <si>
    <t>fault</t>
  </si>
  <si>
    <t>feature;type;name;code;dip;dip_est;dip_dir;plunge;event;max_age_event;min_age_event;geometry</t>
  </si>
  <si>
    <t>database/B_surface/fault.parquet</t>
  </si>
  <si>
    <t>a42830800db7afd1347bc82759fbc60fe39f979965a2423794de8a6336a91628</t>
  </si>
  <si>
    <t>field_observation</t>
  </si>
  <si>
    <t>site_id;geologist;field_notes;rock_name;lithology;regolith_class;landform;geometry;category;observed_name;__index_level_0__</t>
  </si>
  <si>
    <t>database/B_surface/field_observation.parquet</t>
  </si>
  <si>
    <t>dbd5aee5b185e7c6cd49837cab4769786e512dd8e2613b0fcbc96f7e8261b6e7</t>
  </si>
  <si>
    <t>geology_unit</t>
  </si>
  <si>
    <t>code;unit_name;rank;description;parent_code;parent_name;rocktype1;lithname1;rocktype2;lithname2;strat_status;geometry</t>
  </si>
  <si>
    <t>database/B_surface/geology_unit.parquet</t>
  </si>
  <si>
    <t>51c732aa92eb1ea4aaf3e1d44fa0c004489bb0ede9530e300ec3691209336a66</t>
  </si>
  <si>
    <t>greenstone_belt</t>
  </si>
  <si>
    <t>database/B_surface/greenstone_belt.parquet</t>
  </si>
  <si>
    <t>7ec2ffc1be1116106246d038951f2a4875630d22998076c4b127f6d7d6b0c0fe</t>
  </si>
  <si>
    <t>hydrogeochem</t>
  </si>
  <si>
    <t>analysis_id;source;project;site_code;bore_name;sample_date;ph_f;ph;eh;tds;na_mgl;k_mgl;ca_mgl;mg_mgl;cl_mgl;so4_mgl;hco3_mgl;sr_mgl;b_mgl;br_mgl;h2s_mgl;f_mgl;doc_mgl;no3_mgl;nh3_mgl;n_mgl;po4_mgl;ptot_mgl;i_mgl;li_mgl;al_mgl;al_ldl_mgl;al_hdl_mgl;si_mgl;ba_mgl;fe_mgl;fe_ldl_mgl;fe_hdl_mgl;mn_mgl;mn_ldl_mgl;mn_hdl_mgl;ti_mgl;v_mgl;cr_mgl;co_mgl;ni_mgl;cu_mgl;zn_mgl;be_mgl;cs_mgl;ga_ugl;ge_ugl;as_mgl;as_ugl;se_mgl;se_ugl;rb_ugl;y_ugl;zr_ugl;mo_mgl;mo_ugl;cd_mgl;cd_ugl;in_ugl;sn_ugl;sb_mgl;sb_ugl;hg_mgl;pb_mgl;pb_ugl;u_mgl;u_ugl;th_mgl;th_ugl;la_ugl;ce_ugl;pr_ugl;nd_ugl;sm_ugl;eu_ugl;gd_ugl;tb_ugl;dy_ugl;ho_ugl;er_ugl;tm_ugl;yb_ugl;lu_ugl;hf_ugl;ta_ugl;w_ugl;tl_ugl;au_ngl;pt_ngl;pd_ngl;ag_ngl;geometry</t>
  </si>
  <si>
    <t>database/B_surface/hydrogeochem.parquet</t>
  </si>
  <si>
    <t>06fd88d6c5bfb7e28f21de8ce8f2089ddc701db0be771162b8b58dfac081978b</t>
  </si>
  <si>
    <t>lookup_sample_type</t>
  </si>
  <si>
    <t>database/B_surface/lookup_sample_type.parquet</t>
  </si>
  <si>
    <t>a0d210346f94dab5c70622a072c85280c2b0c7be4f403ce11a94be5473daf168</t>
  </si>
  <si>
    <t>map_sheet</t>
  </si>
  <si>
    <t>name;number_;mapcode;available;year_relea;publicatio;descriptio;edition;status;zone_;datum;custodian;geometry</t>
  </si>
  <si>
    <t>database/B_surface/map_sheet.parquet</t>
  </si>
  <si>
    <t>fc9525811ef6af01e166b262eeab54e3fe9c506744d384c2811419fde72afeb7</t>
  </si>
  <si>
    <t>mineral_site</t>
  </si>
  <si>
    <t>site_code;site_title;short_name;commodity_primary;site_type;site_subtype;site_stage;target_commodity;proj_code;proj_title;commodities_all;geometry</t>
  </si>
  <si>
    <t>database/B_surface/mineral_site.parquet</t>
  </si>
  <si>
    <t>2d028cf797922c839a28088cddacb460c8b1aa9b110a6407127574394c33ec14</t>
  </si>
  <si>
    <t>paleovalley</t>
  </si>
  <si>
    <t>pv_id;pv_name;area_km2;geometry</t>
  </si>
  <si>
    <t>database/B_surface/paleovalley.parquet</t>
  </si>
  <si>
    <t>7be314ba01d61e5bfcf0cf1b1b0463852df970d1f3c6d95e26ee12d91cb9ba64</t>
  </si>
  <si>
    <t>pegmatite</t>
  </si>
  <si>
    <t>code;unit_name;description;rocktype1;lithname1;geometry;source</t>
  </si>
  <si>
    <t>database/B_surface/pegmatite.parquet</t>
  </si>
  <si>
    <t>b9d38b73e9184cf09b2766ddacf2382072129ce36c58af0aaee8a7e47a601575</t>
  </si>
  <si>
    <t>surface_assay</t>
  </si>
  <si>
    <t>uid;ag_ppm;as_ppm;au_ppm;bi_ppm;ca_ppm;co_ppm;cr_ppm;cu_ppm;fe_ppm;k_ppm;li_ppm;mg_ppm;mn_ppm;mo_ppm;ni_ppm;p_ppm;pb_ppm;s_pct;sb_ppm;sn_ppm;ta_ppm;ti_ppm;v_ppm;w_ppm;zn_ppm;zr_ppm</t>
  </si>
  <si>
    <t>database/B_surface/surface_assay.parquet</t>
  </si>
  <si>
    <t>555b3a7297596e47754c1ff90714d72a3dcce2aae8b5a845fc9e1f0269ab7bd2</t>
  </si>
  <si>
    <t>surface_sample</t>
  </si>
  <si>
    <t>uid;sample_id;medium;wamex_anumber;comp_sample_id;geometry;longitude;latitude</t>
  </si>
  <si>
    <t>database/B_surface/surface_sample.parquet</t>
  </si>
  <si>
    <t>a195508700cb7f7124c8f74cacaca99a7bef9a507717a0e2183471a776684ff8</t>
  </si>
  <si>
    <t>townsite</t>
  </si>
  <si>
    <t>feature;type;name;population;geometry</t>
  </si>
  <si>
    <t>database/B_surface/townsite.parquet</t>
  </si>
  <si>
    <t>ddd2702134a9891653116ad4bc32a0e6c70200f73f896b148ba4eec699b94c33</t>
  </si>
  <si>
    <t>wachem</t>
  </si>
  <si>
    <t>dataset;sample_id;gswano;extract_da;batch_no;sampletype;lithname;siteno;siteid;origname;wamex_anumber;compsampid;ag_ppm;al_ppm;al2o3_pct;as_ppm;au_ppm;b_ppm;ba_ppm;bao_ppm;be_ppm;bi_ppm;br_ppm;c_ppm;ca_ppm;cao_pct;cd_ppm;ce_ppm;ceo2_ppm;cl_ppm;co_ppm;co2_pct;cr_ppm;cr2o3_ppm;cs_ppm;cs2o_ppm;cu_ppm;dy_ppm;dy2o3_ppm;er_ppm;er2o3_ppm;eu_ppm;eu2o3_ppm;f_ppm;fe_ppm;fe2o3_pct;fe2o3t_pct;feo_pct;ga_ppm;ga2o3_ppm;gd_ppm;gd2o3_ppm;ge_ppm;h2oneg_pct;h2opos_pct;hf_ppm;hg_ppm;ho_ppm;ho2o3_ppm;i_ppm;in_ppm;ir_ppb;k_ppm;k2o_pct;la_ppm;la2o3_ppm;labnegnr_n;li_ppm;li2o_ppm;loi_pct;lu_ppm;lu2o3_ppm;mg_ppm;mgo_pct;mn_ppm;mno_pct;mo_ppm;na_ppm;na2o_pct;nb_ppm;nb2o5_ppm;nd_ppm;nd2o3_ppm;ni_ppm;os_ppb;p_ppm;p2o5_pct;pb_ppm;pd_ppb;pr_ppm;pr2o3_ppm;pt_ppb;rb_ppm;rb2o_ppm;re_ppm;rh_ppb;ru_ppb;s_pct;sb_ppm;sb2o5_ppm;sc_ppm;se_ppm;si_ppm;sio2_pct;sm_ppm;sm2o3_ppm;sn_ppm;so3_pct;sr_ppm;sro_ppm;ta_ppm;ta2o5_ppm;tb_ppm;tb2o3_ppm;te_ppm;th_ppm;tho2_ppm;ti_ppm;tio2_pct;tl_ppm;tm_ppm;tm2o3_ppm;u_ppm;u3o8_ppm;v_ppm;v2o5_ppm;w_ppm;wo3_ppm;y_ppm;y2o3_ppm;yb_ppm;yb2o3_ppm;zn_ppm;zno_ppm;zr_ppm;zro2_ppm;geometry</t>
  </si>
  <si>
    <t>database/B_surface/wachem.parquet</t>
  </si>
  <si>
    <t>370f240df46e8c4371ead023581a991d84acf282ffa41f22cd5a2767842b9b71</t>
  </si>
  <si>
    <t>Methodology, Status Definitions and Sources</t>
  </si>
  <si>
    <t>How to interpret the report and reproduce the client-facing conclusions.</t>
  </si>
  <si>
    <t>Validation method</t>
  </si>
  <si>
    <t>Step</t>
  </si>
  <si>
    <t>Stage</t>
  </si>
  <si>
    <t>Method</t>
  </si>
  <si>
    <t>1</t>
  </si>
  <si>
    <t>All 233 supplied cases were processed against the complete 35-table Parquet database; the two refusal cases were validated by design.</t>
  </si>
  <si>
    <t>2</t>
  </si>
  <si>
    <t>Output comparison</t>
  </si>
  <si>
    <t>Tabular results were compared with official CSV artifacts; visual outputs were checked against official PNGs. Order-only differences were separated from value differences.</t>
  </si>
  <si>
    <t>3</t>
  </si>
  <si>
    <t>Focused diagnosis</t>
  </si>
  <si>
    <t>Every mismatch was rerun and tested for ordering, precision, tie membership, nearest-neighbour ambiguity, sentinel effects or gold-artifact defects.</t>
  </si>
  <si>
    <t>4</t>
  </si>
  <si>
    <t>Final classification</t>
  </si>
  <si>
    <t>A query is red when the supplied logic can change the substantive result or fails an explicit requirement such as the requested map extent. Valid tied alternatives are amber; a defective official gold artifact is blue.</t>
  </si>
  <si>
    <t>5</t>
  </si>
  <si>
    <t>Data-quality review</t>
  </si>
  <si>
    <t>Sentinel, null, extreme and possible mixed-unit values documented by the supplied reviewer logs are reported separately from code validity.</t>
  </si>
  <si>
    <t>Status definitions</t>
  </si>
  <si>
    <t>Colour</t>
  </si>
  <si>
    <t>Meaning</t>
  </si>
  <si>
    <t>Green</t>
  </si>
  <si>
    <t>Execution and semantic result validated.</t>
  </si>
  <si>
    <t>Amber</t>
  </si>
  <si>
    <t>The output is a defensible tied alternative; add deterministic ordering only if exact repeatability is required.</t>
  </si>
  <si>
    <t>Blue</t>
  </si>
  <si>
    <t>The supplied query is valid, but the official gold artifact is wrong or stale.</t>
  </si>
  <si>
    <t>Red</t>
  </si>
  <si>
    <t>The supplied logic discards unresolved ties, changes the substantive result, or fails an explicit output requirement.</t>
  </si>
  <si>
    <t>Orange</t>
  </si>
  <si>
    <t>Sentinel, null, extreme, mixed-unit or identification concern in the source/output; not automatically a query failure.</t>
  </si>
  <si>
    <t>Source register</t>
  </si>
  <si>
    <t>Source</t>
  </si>
  <si>
    <t>Role</t>
  </si>
  <si>
    <t>Coverage</t>
  </si>
  <si>
    <t>GeoQueryBench_Query_by_Query_Validation.xlsx</t>
  </si>
  <si>
    <t>Authoritative 233-query runtime and semantic validation register</t>
  </si>
  <si>
    <t>233 cases; 97 SQL, 54 GeoPandas, 35 Python, 45 visualisation and 2 refusal</t>
  </si>
  <si>
    <t>Client-summary format reference and documented sentinel/data notes</t>
  </si>
  <si>
    <t>40 reviewed questions</t>
  </si>
  <si>
    <t>Detailed checklist reference and documented data-quality/expert-review concerns</t>
  </si>
  <si>
    <t>Ziyue_Code_Review.zip</t>
  </si>
  <si>
    <t>Independent query tests, saved execution evidence and data-quality review</t>
  </si>
  <si>
    <t>47 benchmark questions: 46 passed and one expected failure (CD4-013); four helper tests also passed</t>
  </si>
  <si>
    <t>Pasted markdown(3).md</t>
  </si>
  <si>
    <t>Client-meeting requirements and colour/classification convention</t>
  </si>
  <si>
    <t>Transcript excerpt through 05:54, supplemented by the later transcript supplied in chat</t>
  </si>
  <si>
    <t>GeoQueryBench_233_Verifications_with_Excel_Visualisations.xlsx</t>
  </si>
  <si>
    <t>Existing output previews and per-query Excel visualisation evidence</t>
  </si>
  <si>
    <t>All 233 questions</t>
  </si>
  <si>
    <t>Scope limitation: the 233-query execution audit is complete. The final semantic classification incorporates the additional Ziyue review evidence. The orange data-quality register consolidates observations explicitly documented in Dilani's, Thomas's and Ziyue's reviewer logs; it is not represented as a fresh exhaustive value-level scan of every returned cell. Geological interpretation, the three tie-policy decisions and the CD4-013 map-extent correction remain with the client/domain expert.</t>
  </si>
  <si>
    <t>Project repository: https://github.com/chaitanya3418/geoquerybench-group7-private
Validation application: https://geoquerybench-group7-private.onrender.com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</si>
</sst>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8">
    <font>
      <sz val="11"/>
      <name val="Carlito"/>
    </font>
    <font>
      <i/>
      <sz val="10"/>
      <color rgb="FF5F6B7A"/>
      <name val="Aptos"/>
    </font>
    <font>
      <b/>
      <sz val="10"/>
      <color rgb="FFFFFFFF"/>
      <name val="Aptos"/>
    </font>
    <font>
      <sz val="9"/>
      <color rgb="FF1F2933"/>
      <name val="Aptos"/>
    </font>
    <font>
      <b/>
      <sz val="12"/>
      <color rgb="FFFFFFFF"/>
      <name val="Aptos"/>
    </font>
    <font>
      <sz val="10"/>
      <color rgb="FF1F2933"/>
      <name val="Aptos"/>
    </font>
    <font>
      <b/>
      <sz val="10"/>
      <color rgb="FF1F2933"/>
      <name val="Aptos"/>
    </font>
    <font>
      <b/>
      <sz val="11"/>
      <color rgb="FFFFFFFF"/>
      <name val="Aptos"/>
    </font>
    <font>
      <sz val="11"/>
      <color rgb="FF1F2933"/>
      <name val="Aptos"/>
    </font>
    <font>
      <b/>
      <sz val="9"/>
      <color rgb="FFFFFFFF"/>
      <name val="Aptos"/>
    </font>
    <font>
      <b/>
      <sz val="11"/>
      <color rgb="FFC62828"/>
      <name val="Aptos"/>
    </font>
    <font>
      <b/>
      <sz val="9"/>
      <color rgb="FF2E75B6"/>
      <name val="Aptos"/>
    </font>
    <font>
      <b/>
      <sz val="9"/>
      <color rgb="FFED7D31"/>
      <name val="Aptos"/>
    </font>
    <font>
      <b/>
      <sz val="9"/>
      <color rgb="FF1F2933"/>
      <name val="Aptos"/>
    </font>
    <font>
      <b/>
      <sz val="10"/>
      <color rgb="FF2E7D32"/>
      <name val="Aptos"/>
    </font>
    <font>
      <b/>
      <sz val="11"/>
      <color rgb="FF1F2933"/>
      <name val="Aptos"/>
    </font>
    <font>
      <sz val="10"/>
      <color rgb="FF17365D"/>
      <name val="Aptos"/>
    </font>
    <font>
      <b/>
      <sz val="20"/>
      <color rgb="FFFFFFFF"/>
      <name val="Aptos"/>
    </font>
    <font>
      <sz val="11"/>
      <name val="Aptos"/>
    </font>
    <font>
      <b/>
      <sz val="25"/>
      <color rgb="FF17365D"/>
      <name val="Aptos"/>
    </font>
    <font>
      <b/>
      <sz val="25"/>
      <color rgb="FF0F6B78"/>
      <name val="Aptos"/>
    </font>
    <font>
      <b/>
      <sz val="25"/>
      <color rgb="FF2E7D32"/>
      <name val="Aptos"/>
    </font>
    <font>
      <b/>
      <sz val="25"/>
      <color rgb="FFC62828"/>
      <name val="Aptos"/>
    </font>
    <font>
      <sz val="8"/>
      <color rgb="FF1F2933"/>
      <name val="Aptos"/>
    </font>
    <font>
      <b/>
      <sz val="22"/>
      <color rgb="FF17365D"/>
      <name val="Aptos"/>
    </font>
    <font>
      <b/>
      <sz val="22"/>
      <color rgb="FF2E7D32"/>
      <name val="Aptos"/>
    </font>
    <font>
      <b/>
      <sz val="22"/>
      <color rgb="FFC62828"/>
      <name val="Aptos"/>
    </font>
    <font>
      <b/>
      <sz val="22"/>
      <color rgb="FFED7D31"/>
      <name val="Aptos"/>
    </font>
  </fonts>
  <fills count="16">
    <fill>
      <patternFill patternType="none"/>
    </fill>
    <fill>
      <patternFill patternType="gray125"/>
    </fill>
    <fill>
      <patternFill patternType="solid">
        <fgColor rgb="FF17365D"/>
      </patternFill>
    </fill>
    <fill>
      <patternFill patternType="solid">
        <fgColor rgb="FFEDF5FA"/>
      </patternFill>
    </fill>
    <fill>
      <patternFill patternType="solid">
        <fgColor rgb="FF0F6B78"/>
      </patternFill>
    </fill>
    <fill>
      <patternFill patternType="solid">
        <fgColor rgb="FFE8F5E9"/>
      </patternFill>
    </fill>
    <fill>
      <patternFill patternType="solid">
        <fgColor rgb="FFDDEBF7"/>
      </patternFill>
    </fill>
    <fill>
      <patternFill patternType="solid">
        <fgColor rgb="FFFFF2CC"/>
      </patternFill>
    </fill>
    <fill>
      <patternFill patternType="solid">
        <fgColor rgb="FFFCE8E6"/>
      </patternFill>
    </fill>
    <fill>
      <patternFill patternType="solid">
        <fgColor rgb="FFFFFFFF"/>
      </patternFill>
    </fill>
    <fill>
      <patternFill patternType="solid">
        <fgColor rgb="FF2E7D32"/>
      </patternFill>
    </fill>
    <fill>
      <patternFill patternType="solid">
        <fgColor rgb="FFC62828"/>
      </patternFill>
    </fill>
    <fill>
      <patternFill patternType="solid">
        <fgColor rgb="FFED7D31"/>
      </patternFill>
    </fill>
    <fill>
      <patternFill patternType="solid">
        <fgColor rgb="FFF3F5F7"/>
      </patternFill>
    </fill>
    <fill>
      <patternFill patternType="solid">
        <fgColor rgb="FFF7F9FB"/>
      </patternFill>
    </fill>
    <fill>
      <patternFill patternType="solid">
        <fgColor rgb="FF5F6B7A"/>
      </patternFill>
    </fill>
  </fills>
  <borders count="74">
    <border>
      <left/>
      <right/>
      <top/>
      <bottom/>
      <diagonal/>
    </border>
    <border>
      <left style="thin">
        <color rgb="FFC9D2DC"/>
      </left>
      <right style="thin">
        <color rgb="FFC9D2DC"/>
      </right>
      <top style="thin">
        <color rgb="FFC9D2DC"/>
      </top>
      <bottom style="thin">
        <color rgb="FFC9D2DC"/>
      </bottom>
      <diagonal/>
    </border>
    <border>
      <left/>
      <right/>
      <top/>
      <bottom style="thin">
        <color rgb="FFC9D2DC"/>
      </bottom>
      <diagonal/>
    </border>
    <border>
      <left/>
      <right/>
      <top style="thin">
        <color rgb="FFC9D2DC"/>
      </top>
      <bottom style="thin">
        <color rgb="FFC9D2DC"/>
      </bottom>
      <diagonal/>
    </border>
    <border>
      <left style="medium">
        <color rgb="FF17365D"/>
      </left>
      <right style="medium">
        <color rgb="FF17365D"/>
      </right>
      <top style="medium">
        <color rgb="FF17365D"/>
      </top>
      <bottom/>
      <diagonal/>
    </border>
    <border>
      <left style="medium">
        <color rgb="FF17365D"/>
      </left>
      <right style="medium">
        <color rgb="FF17365D"/>
      </right>
      <top/>
      <bottom style="medium">
        <color rgb="FF17365D"/>
      </bottom>
      <diagonal/>
    </border>
    <border>
      <left style="medium">
        <color rgb="FF2E7D32"/>
      </left>
      <right style="medium">
        <color rgb="FF2E7D32"/>
      </right>
      <top style="medium">
        <color rgb="FF2E7D32"/>
      </top>
      <bottom/>
      <diagonal/>
    </border>
    <border>
      <left style="medium">
        <color rgb="FF2E7D32"/>
      </left>
      <right style="medium">
        <color rgb="FF2E7D32"/>
      </right>
      <top/>
      <bottom style="medium">
        <color rgb="FF2E7D32"/>
      </bottom>
      <diagonal/>
    </border>
    <border>
      <left style="medium">
        <color rgb="FFC62828"/>
      </left>
      <right style="medium">
        <color rgb="FFC62828"/>
      </right>
      <top style="medium">
        <color rgb="FFC62828"/>
      </top>
      <bottom/>
      <diagonal/>
    </border>
    <border>
      <left style="medium">
        <color rgb="FFC62828"/>
      </left>
      <right style="medium">
        <color rgb="FFC62828"/>
      </right>
      <top/>
      <bottom style="medium">
        <color rgb="FFC62828"/>
      </bottom>
      <diagonal/>
    </border>
    <border>
      <left style="medium">
        <color rgb="FFED7D31"/>
      </left>
      <right style="medium">
        <color rgb="FFED7D31"/>
      </right>
      <top style="medium">
        <color rgb="FFED7D31"/>
      </top>
      <bottom/>
      <diagonal/>
    </border>
    <border>
      <left style="medium">
        <color rgb="FFED7D31"/>
      </left>
      <right style="medium">
        <color rgb="FFED7D31"/>
      </right>
      <top/>
      <bottom style="medium">
        <color rgb="FFED7D31"/>
      </bottom>
      <diagonal/>
    </border>
    <border>
      <left style="thin">
        <color rgb="FF2E75B6"/>
      </left>
      <right/>
      <top style="thin">
        <color rgb="FF2E75B6"/>
      </top>
      <bottom/>
      <diagonal/>
    </border>
    <border>
      <left/>
      <right/>
      <top style="thin">
        <color rgb="FF2E75B6"/>
      </top>
      <bottom/>
      <diagonal/>
    </border>
    <border>
      <left/>
      <right style="thin">
        <color rgb="FF2E75B6"/>
      </right>
      <top style="thin">
        <color rgb="FF2E75B6"/>
      </top>
      <bottom/>
      <diagonal/>
    </border>
    <border>
      <left style="thin">
        <color rgb="FF2E75B6"/>
      </left>
      <right/>
      <top/>
      <bottom/>
      <diagonal/>
    </border>
    <border>
      <left/>
      <right style="thin">
        <color rgb="FF2E75B6"/>
      </right>
      <top/>
      <bottom/>
      <diagonal/>
    </border>
    <border>
      <left style="thin">
        <color rgb="FF2E75B6"/>
      </left>
      <right/>
      <top/>
      <bottom style="thin">
        <color rgb="FF2E75B6"/>
      </bottom>
      <diagonal/>
    </border>
    <border>
      <left/>
      <right/>
      <top/>
      <bottom style="thin">
        <color rgb="FF2E75B6"/>
      </bottom>
      <diagonal/>
    </border>
    <border>
      <left/>
      <right style="thin">
        <color rgb="FF2E75B6"/>
      </right>
      <top/>
      <bottom style="thin">
        <color rgb="FF2E75B6"/>
      </bottom>
      <diagonal/>
    </border>
    <border>
      <left style="medium">
        <color rgb="FF17365D"/>
      </left>
      <right/>
      <top style="medium">
        <color rgb="FF17365D"/>
      </top>
      <bottom/>
      <diagonal/>
    </border>
    <border>
      <left/>
      <right/>
      <top style="medium">
        <color rgb="FF17365D"/>
      </top>
      <bottom/>
      <diagonal/>
    </border>
    <border>
      <left/>
      <right style="medium">
        <color rgb="FF17365D"/>
      </right>
      <top style="medium">
        <color rgb="FF17365D"/>
      </top>
      <bottom/>
      <diagonal/>
    </border>
    <border>
      <left style="medium">
        <color rgb="FF17365D"/>
      </left>
      <right/>
      <top/>
      <bottom/>
      <diagonal/>
    </border>
    <border>
      <left/>
      <right style="medium">
        <color rgb="FF17365D"/>
      </right>
      <top/>
      <bottom/>
      <diagonal/>
    </border>
    <border>
      <left style="medium">
        <color rgb="FF17365D"/>
      </left>
      <right/>
      <top/>
      <bottom style="medium">
        <color rgb="FF17365D"/>
      </bottom>
      <diagonal/>
    </border>
    <border>
      <left/>
      <right/>
      <top/>
      <bottom style="medium">
        <color rgb="FF17365D"/>
      </bottom>
      <diagonal/>
    </border>
    <border>
      <left/>
      <right style="medium">
        <color rgb="FF17365D"/>
      </right>
      <top/>
      <bottom style="medium">
        <color rgb="FF17365D"/>
      </bottom>
      <diagonal/>
    </border>
    <border>
      <left style="medium">
        <color rgb="FF0F6B78"/>
      </left>
      <right/>
      <top style="medium">
        <color rgb="FF0F6B78"/>
      </top>
      <bottom/>
      <diagonal/>
    </border>
    <border>
      <left/>
      <right/>
      <top style="medium">
        <color rgb="FF0F6B78"/>
      </top>
      <bottom/>
      <diagonal/>
    </border>
    <border>
      <left/>
      <right style="medium">
        <color rgb="FF0F6B78"/>
      </right>
      <top style="medium">
        <color rgb="FF0F6B78"/>
      </top>
      <bottom/>
      <diagonal/>
    </border>
    <border>
      <left style="medium">
        <color rgb="FF0F6B78"/>
      </left>
      <right/>
      <top/>
      <bottom/>
      <diagonal/>
    </border>
    <border>
      <left/>
      <right style="medium">
        <color rgb="FF0F6B78"/>
      </right>
      <top/>
      <bottom/>
      <diagonal/>
    </border>
    <border>
      <left style="medium">
        <color rgb="FF0F6B78"/>
      </left>
      <right/>
      <top/>
      <bottom style="medium">
        <color rgb="FF0F6B78"/>
      </bottom>
      <diagonal/>
    </border>
    <border>
      <left/>
      <right/>
      <top/>
      <bottom style="medium">
        <color rgb="FF0F6B78"/>
      </bottom>
      <diagonal/>
    </border>
    <border>
      <left/>
      <right style="medium">
        <color rgb="FF0F6B78"/>
      </right>
      <top/>
      <bottom style="medium">
        <color rgb="FF0F6B78"/>
      </bottom>
      <diagonal/>
    </border>
    <border>
      <left style="medium">
        <color rgb="FF2E7D32"/>
      </left>
      <right/>
      <top style="medium">
        <color rgb="FF2E7D32"/>
      </top>
      <bottom/>
      <diagonal/>
    </border>
    <border>
      <left/>
      <right/>
      <top style="medium">
        <color rgb="FF2E7D32"/>
      </top>
      <bottom/>
      <diagonal/>
    </border>
    <border>
      <left/>
      <right style="medium">
        <color rgb="FF2E7D32"/>
      </right>
      <top style="medium">
        <color rgb="FF2E7D32"/>
      </top>
      <bottom/>
      <diagonal/>
    </border>
    <border>
      <left style="medium">
        <color rgb="FF2E7D32"/>
      </left>
      <right/>
      <top/>
      <bottom/>
      <diagonal/>
    </border>
    <border>
      <left/>
      <right style="medium">
        <color rgb="FF2E7D32"/>
      </right>
      <top/>
      <bottom/>
      <diagonal/>
    </border>
    <border>
      <left style="medium">
        <color rgb="FF2E7D32"/>
      </left>
      <right/>
      <top/>
      <bottom style="medium">
        <color rgb="FF2E7D32"/>
      </bottom>
      <diagonal/>
    </border>
    <border>
      <left/>
      <right/>
      <top/>
      <bottom style="medium">
        <color rgb="FF2E7D32"/>
      </bottom>
      <diagonal/>
    </border>
    <border>
      <left/>
      <right style="medium">
        <color rgb="FF2E7D32"/>
      </right>
      <top/>
      <bottom style="medium">
        <color rgb="FF2E7D32"/>
      </bottom>
      <diagonal/>
    </border>
    <border>
      <left style="medium">
        <color rgb="FFC62828"/>
      </left>
      <right/>
      <top style="medium">
        <color rgb="FFC62828"/>
      </top>
      <bottom/>
      <diagonal/>
    </border>
    <border>
      <left/>
      <right/>
      <top style="medium">
        <color rgb="FFC62828"/>
      </top>
      <bottom/>
      <diagonal/>
    </border>
    <border>
      <left/>
      <right style="medium">
        <color rgb="FFC62828"/>
      </right>
      <top style="medium">
        <color rgb="FFC62828"/>
      </top>
      <bottom/>
      <diagonal/>
    </border>
    <border>
      <left style="medium">
        <color rgb="FFC62828"/>
      </left>
      <right/>
      <top/>
      <bottom/>
      <diagonal/>
    </border>
    <border>
      <left/>
      <right style="medium">
        <color rgb="FFC62828"/>
      </right>
      <top/>
      <bottom/>
      <diagonal/>
    </border>
    <border>
      <left style="medium">
        <color rgb="FFC62828"/>
      </left>
      <right/>
      <top/>
      <bottom style="medium">
        <color rgb="FFC62828"/>
      </bottom>
      <diagonal/>
    </border>
    <border>
      <left/>
      <right/>
      <top/>
      <bottom style="medium">
        <color rgb="FFC62828"/>
      </bottom>
      <diagonal/>
    </border>
    <border>
      <left/>
      <right style="medium">
        <color rgb="FFC62828"/>
      </right>
      <top/>
      <bottom style="medium">
        <color rgb="FFC62828"/>
      </bottom>
      <diagonal/>
    </border>
    <border>
      <left style="thin">
        <color rgb="FFC9D2DC"/>
      </left>
      <right/>
      <top style="thin">
        <color rgb="FFC9D2DC"/>
      </top>
      <bottom/>
      <diagonal/>
    </border>
    <border>
      <left/>
      <right/>
      <top style="thin">
        <color rgb="FFC9D2DC"/>
      </top>
      <bottom/>
      <diagonal/>
    </border>
    <border>
      <left style="thin">
        <color rgb="FFC9D2DC"/>
      </left>
      <right/>
      <top/>
      <bottom/>
      <diagonal/>
    </border>
    <border>
      <left style="thin">
        <color rgb="FFC9D2DC"/>
      </left>
      <right/>
      <top/>
      <bottom style="thin">
        <color rgb="FFC9D2DC"/>
      </bottom>
      <diagonal/>
    </border>
    <border>
      <left style="medium">
        <color rgb="FFC9D2DC"/>
      </left>
      <right/>
      <top style="medium">
        <color rgb="FFC9D2DC"/>
      </top>
      <bottom/>
      <diagonal/>
    </border>
    <border>
      <left/>
      <right/>
      <top style="medium">
        <color rgb="FFC9D2DC"/>
      </top>
      <bottom/>
      <diagonal/>
    </border>
    <border>
      <left/>
      <right style="medium">
        <color rgb="FFC9D2DC"/>
      </right>
      <top style="medium">
        <color rgb="FFC9D2DC"/>
      </top>
      <bottom/>
      <diagonal/>
    </border>
    <border>
      <left style="medium">
        <color rgb="FFC9D2DC"/>
      </left>
      <right/>
      <top/>
      <bottom/>
      <diagonal/>
    </border>
    <border>
      <left/>
      <right style="medium">
        <color rgb="FFC9D2DC"/>
      </right>
      <top/>
      <bottom/>
      <diagonal/>
    </border>
    <border>
      <left/>
      <right style="medium">
        <color rgb="FFC9D2DC"/>
      </right>
      <top style="thin">
        <color rgb="FFC9D2DC"/>
      </top>
      <bottom/>
      <diagonal/>
    </border>
    <border>
      <left/>
      <right style="medium">
        <color rgb="FFC9D2DC"/>
      </right>
      <top/>
      <bottom style="thin">
        <color rgb="FFC9D2DC"/>
      </bottom>
      <diagonal/>
    </border>
    <border>
      <left style="medium">
        <color rgb="FFC9D2DC"/>
      </left>
      <right/>
      <top/>
      <bottom style="medium">
        <color rgb="FFC9D2DC"/>
      </bottom>
      <diagonal/>
    </border>
    <border>
      <left/>
      <right/>
      <top/>
      <bottom style="medium">
        <color rgb="FFC9D2DC"/>
      </bottom>
      <diagonal/>
    </border>
    <border>
      <left/>
      <right style="medium">
        <color rgb="FFC9D2DC"/>
      </right>
      <top/>
      <bottom style="medium">
        <color rgb="FFC9D2DC"/>
      </bottom>
      <diagonal/>
    </border>
    <border>
      <left style="thin">
        <color rgb="FFED7D31"/>
      </left>
      <right/>
      <top style="thin">
        <color rgb="FFED7D31"/>
      </top>
      <bottom/>
      <diagonal/>
    </border>
    <border>
      <left/>
      <right/>
      <top style="thin">
        <color rgb="FFED7D31"/>
      </top>
      <bottom/>
      <diagonal/>
    </border>
    <border>
      <left/>
      <right style="thin">
        <color rgb="FFED7D31"/>
      </right>
      <top style="thin">
        <color rgb="FFED7D31"/>
      </top>
      <bottom/>
      <diagonal/>
    </border>
    <border>
      <left style="thin">
        <color rgb="FFED7D31"/>
      </left>
      <right/>
      <top/>
      <bottom/>
      <diagonal/>
    </border>
    <border>
      <left/>
      <right style="thin">
        <color rgb="FFED7D31"/>
      </right>
      <top/>
      <bottom/>
      <diagonal/>
    </border>
    <border>
      <left style="thin">
        <color rgb="FFED7D31"/>
      </left>
      <right/>
      <top/>
      <bottom style="thin">
        <color rgb="FFED7D31"/>
      </bottom>
      <diagonal/>
    </border>
    <border>
      <left/>
      <right/>
      <top/>
      <bottom style="thin">
        <color rgb="FFED7D31"/>
      </bottom>
      <diagonal/>
    </border>
    <border>
      <left/>
      <right style="thin">
        <color rgb="FFED7D31"/>
      </right>
      <top/>
      <bottom style="thin">
        <color rgb="FFED7D31"/>
      </bottom>
      <diagonal/>
    </border>
  </borders>
  <cellStyleXfs count="1">
    <xf numFmtId="0" fontId="0" fillId="0" borderId="0"/>
  </cellStyleXfs>
  <cellXfs count="154">
    <xf numFmtId="0" fontId="0" fillId="0" borderId="0" xfId="0"/>
    <xf numFmtId="0" fontId="2" fillId="4" borderId="1" xfId="0" applyFont="1" applyFill="1" applyBorder="1" applyAlignment="1">
      <alignment horizontal="center" vertical="center"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2" xfId="0" applyFont="1" applyBorder="1" applyAlignment="1">
      <alignment vertical="center" wrapText="1"/>
    </xf>
    <xf numFmtId="0" fontId="3" fillId="0" borderId="3" xfId="0" applyFont="1" applyBorder="1" applyAlignment="1">
      <alignment vertical="center" wrapText="1"/>
    </xf>
    <xf numFmtId="164" fontId="3" fillId="0" borderId="2" xfId="0" applyNumberFormat="1" applyFont="1" applyBorder="1" applyAlignment="1">
      <alignment vertical="center" wrapText="1"/>
    </xf>
    <xf numFmtId="164" fontId="3" fillId="0" borderId="3" xfId="0" applyNumberFormat="1" applyFont="1" applyBorder="1" applyAlignment="1">
      <alignment vertical="center" wrapText="1"/>
    </xf>
    <xf numFmtId="1" fontId="3" fillId="0" borderId="2" xfId="0" applyNumberFormat="1" applyFont="1" applyBorder="1" applyAlignment="1">
      <alignment vertical="center" wrapText="1"/>
    </xf>
    <xf numFmtId="1" fontId="3" fillId="0" borderId="3" xfId="0" applyNumberFormat="1" applyFont="1" applyBorder="1" applyAlignment="1">
      <alignment vertical="center" wrapText="1"/>
    </xf>
    <xf numFmtId="0" fontId="3" fillId="5" borderId="2" xfId="0" applyFont="1" applyFill="1" applyBorder="1" applyAlignment="1">
      <alignment vertical="center" wrapText="1"/>
    </xf>
    <xf numFmtId="0" fontId="3" fillId="5" borderId="3" xfId="0" applyFont="1" applyFill="1" applyBorder="1" applyAlignment="1">
      <alignment vertical="center" wrapText="1"/>
    </xf>
    <xf numFmtId="0" fontId="3" fillId="6" borderId="3" xfId="0" applyFont="1" applyFill="1" applyBorder="1" applyAlignment="1">
      <alignment vertical="center" wrapText="1"/>
    </xf>
    <xf numFmtId="0" fontId="3" fillId="7" borderId="3" xfId="0" applyFont="1" applyFill="1" applyBorder="1" applyAlignment="1">
      <alignment vertical="center" wrapText="1"/>
    </xf>
    <xf numFmtId="0" fontId="3" fillId="8" borderId="3" xfId="0" applyFont="1" applyFill="1" applyBorder="1" applyAlignment="1">
      <alignment vertical="center" wrapText="1"/>
    </xf>
    <xf numFmtId="0" fontId="3" fillId="0" borderId="2" xfId="0" applyFont="1" applyBorder="1" applyAlignment="1">
      <alignment vertical="top"/>
    </xf>
    <xf numFmtId="0" fontId="3" fillId="0" borderId="3" xfId="0" applyFont="1" applyBorder="1" applyAlignment="1">
      <alignment vertical="top"/>
    </xf>
    <xf numFmtId="1" fontId="3" fillId="0" borderId="2" xfId="0" applyNumberFormat="1" applyFont="1" applyBorder="1" applyAlignment="1">
      <alignment vertical="top"/>
    </xf>
    <xf numFmtId="1" fontId="3" fillId="0" borderId="3" xfId="0" applyNumberFormat="1" applyFont="1" applyBorder="1" applyAlignment="1">
      <alignment vertical="top"/>
    </xf>
    <xf numFmtId="0" fontId="3" fillId="7" borderId="2" xfId="0" applyFont="1" applyFill="1" applyBorder="1" applyAlignment="1">
      <alignment vertical="top" wrapText="1"/>
    </xf>
    <xf numFmtId="0" fontId="3" fillId="7" borderId="3" xfId="0" applyFont="1" applyFill="1" applyBorder="1" applyAlignment="1">
      <alignment vertical="top" wrapText="1"/>
    </xf>
    <xf numFmtId="0" fontId="3" fillId="8" borderId="2" xfId="0" applyFont="1" applyFill="1" applyBorder="1" applyAlignment="1">
      <alignment vertical="top" wrapText="1"/>
    </xf>
    <xf numFmtId="0" fontId="3" fillId="5" borderId="3" xfId="0" applyFont="1" applyFill="1" applyBorder="1" applyAlignment="1">
      <alignment vertical="top" wrapText="1"/>
    </xf>
    <xf numFmtId="0" fontId="3" fillId="8" borderId="3" xfId="0" applyFont="1" applyFill="1" applyBorder="1" applyAlignment="1">
      <alignment vertical="top" wrapText="1"/>
    </xf>
    <xf numFmtId="0" fontId="9" fillId="11" borderId="2" xfId="0" applyFont="1" applyFill="1" applyBorder="1" applyAlignment="1">
      <alignment vertical="center" wrapText="1"/>
    </xf>
    <xf numFmtId="0" fontId="9" fillId="11" borderId="3" xfId="0" applyFont="1" applyFill="1" applyBorder="1" applyAlignment="1">
      <alignment vertical="center" wrapText="1"/>
    </xf>
    <xf numFmtId="164" fontId="3" fillId="0" borderId="2" xfId="0" applyNumberFormat="1" applyFont="1" applyBorder="1" applyAlignment="1">
      <alignment vertical="top" wrapText="1"/>
    </xf>
    <xf numFmtId="164" fontId="3" fillId="0" borderId="3" xfId="0" applyNumberFormat="1" applyFont="1" applyBorder="1" applyAlignment="1">
      <alignment vertical="top" wrapText="1"/>
    </xf>
    <xf numFmtId="0" fontId="11" fillId="6" borderId="2" xfId="0" applyFont="1" applyFill="1" applyBorder="1" applyAlignment="1">
      <alignment vertical="top" wrapText="1"/>
    </xf>
    <xf numFmtId="0" fontId="12" fillId="7" borderId="3" xfId="0" applyFont="1" applyFill="1" applyBorder="1" applyAlignment="1">
      <alignment vertical="top" wrapText="1"/>
    </xf>
    <xf numFmtId="0" fontId="3" fillId="5" borderId="2" xfId="0" applyFont="1" applyFill="1" applyBorder="1" applyAlignment="1">
      <alignment vertical="top" wrapText="1"/>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3" fontId="3" fillId="0" borderId="2" xfId="0" applyNumberFormat="1" applyFont="1" applyBorder="1" applyAlignment="1">
      <alignment vertical="top" wrapText="1"/>
    </xf>
    <xf numFmtId="3" fontId="3" fillId="0" borderId="3" xfId="0" applyNumberFormat="1" applyFont="1" applyBorder="1" applyAlignment="1">
      <alignment vertical="top" wrapText="1"/>
    </xf>
    <xf numFmtId="0" fontId="3" fillId="6" borderId="3" xfId="0" applyFont="1" applyFill="1" applyBorder="1" applyAlignment="1">
      <alignment vertical="top" wrapText="1"/>
    </xf>
    <xf numFmtId="0" fontId="18" fillId="0" borderId="0" xfId="0" applyFont="1"/>
    <xf numFmtId="0" fontId="17" fillId="2" borderId="0" xfId="0" applyFont="1" applyFill="1" applyAlignment="1">
      <alignment horizontal="left" vertical="center"/>
    </xf>
    <xf numFmtId="0" fontId="17" fillId="2" borderId="0" xfId="0" applyFont="1" applyFill="1" applyAlignment="1">
      <alignment vertical="center"/>
    </xf>
    <xf numFmtId="0" fontId="1" fillId="3" borderId="0" xfId="0" applyFont="1" applyFill="1" applyAlignment="1">
      <alignment vertical="center" wrapText="1"/>
    </xf>
    <xf numFmtId="0" fontId="2" fillId="2" borderId="0" xfId="0" applyFont="1" applyFill="1" applyAlignment="1">
      <alignment vertical="center" wrapText="1"/>
    </xf>
    <xf numFmtId="0" fontId="19" fillId="9" borderId="20" xfId="0" applyFont="1" applyFill="1" applyBorder="1" applyAlignment="1">
      <alignment horizontal="center" vertical="center"/>
    </xf>
    <xf numFmtId="0" fontId="19" fillId="9" borderId="21" xfId="0" applyFont="1" applyFill="1" applyBorder="1" applyAlignment="1">
      <alignment horizontal="center" vertical="center"/>
    </xf>
    <xf numFmtId="0" fontId="19" fillId="9" borderId="22" xfId="0" applyFont="1" applyFill="1" applyBorder="1" applyAlignment="1">
      <alignment horizontal="center" vertical="center"/>
    </xf>
    <xf numFmtId="0" fontId="19" fillId="9" borderId="23" xfId="0" applyFont="1" applyFill="1" applyBorder="1" applyAlignment="1">
      <alignment horizontal="center" vertical="center"/>
    </xf>
    <xf numFmtId="0" fontId="19" fillId="9" borderId="0" xfId="0" applyFont="1" applyFill="1" applyAlignment="1">
      <alignment horizontal="center" vertical="center"/>
    </xf>
    <xf numFmtId="0" fontId="19" fillId="9" borderId="24" xfId="0" applyFont="1" applyFill="1" applyBorder="1" applyAlignment="1">
      <alignment horizontal="center" vertical="center"/>
    </xf>
    <xf numFmtId="0" fontId="19" fillId="9" borderId="25" xfId="0" applyFont="1" applyFill="1" applyBorder="1" applyAlignment="1">
      <alignment horizontal="center" vertical="center"/>
    </xf>
    <xf numFmtId="0" fontId="19" fillId="9" borderId="26" xfId="0" applyFont="1" applyFill="1" applyBorder="1" applyAlignment="1">
      <alignment horizontal="center" vertical="center"/>
    </xf>
    <xf numFmtId="0" fontId="19" fillId="9" borderId="27" xfId="0" applyFont="1" applyFill="1" applyBorder="1" applyAlignment="1">
      <alignment horizontal="center" vertical="center"/>
    </xf>
    <xf numFmtId="0" fontId="2" fillId="4" borderId="0" xfId="0" applyFont="1" applyFill="1" applyAlignment="1">
      <alignment vertical="center" wrapText="1"/>
    </xf>
    <xf numFmtId="0" fontId="20" fillId="9" borderId="28" xfId="0" applyFont="1" applyFill="1" applyBorder="1" applyAlignment="1">
      <alignment horizontal="center" vertical="center"/>
    </xf>
    <xf numFmtId="0" fontId="20" fillId="9" borderId="29" xfId="0" applyFont="1" applyFill="1" applyBorder="1" applyAlignment="1">
      <alignment horizontal="center" vertical="center"/>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0" xfId="0" applyFont="1" applyFill="1" applyAlignment="1">
      <alignment horizontal="center" vertical="center"/>
    </xf>
    <xf numFmtId="0" fontId="20" fillId="9" borderId="32" xfId="0" applyFont="1" applyFill="1" applyBorder="1" applyAlignment="1">
      <alignment horizontal="center" vertical="center"/>
    </xf>
    <xf numFmtId="0" fontId="20" fillId="9" borderId="33" xfId="0" applyFont="1" applyFill="1" applyBorder="1" applyAlignment="1">
      <alignment horizontal="center" vertical="center"/>
    </xf>
    <xf numFmtId="0" fontId="20" fillId="9" borderId="34" xfId="0" applyFont="1" applyFill="1" applyBorder="1" applyAlignment="1">
      <alignment horizontal="center" vertical="center"/>
    </xf>
    <xf numFmtId="0" fontId="20" fillId="9" borderId="35" xfId="0" applyFont="1" applyFill="1" applyBorder="1" applyAlignment="1">
      <alignment horizontal="center" vertical="center"/>
    </xf>
    <xf numFmtId="0" fontId="2" fillId="10" borderId="0" xfId="0" applyFont="1" applyFill="1" applyAlignment="1">
      <alignment vertical="center" wrapText="1"/>
    </xf>
    <xf numFmtId="0" fontId="21" fillId="9" borderId="36" xfId="0" applyFont="1" applyFill="1" applyBorder="1" applyAlignment="1">
      <alignment horizontal="center" vertical="center"/>
    </xf>
    <xf numFmtId="0" fontId="21" fillId="9" borderId="37" xfId="0" applyFont="1" applyFill="1" applyBorder="1" applyAlignment="1">
      <alignment horizontal="center" vertical="center"/>
    </xf>
    <xf numFmtId="0" fontId="21" fillId="9" borderId="38" xfId="0" applyFont="1" applyFill="1" applyBorder="1" applyAlignment="1">
      <alignment horizontal="center" vertical="center"/>
    </xf>
    <xf numFmtId="0" fontId="21" fillId="9" borderId="39" xfId="0" applyFont="1" applyFill="1" applyBorder="1" applyAlignment="1">
      <alignment horizontal="center" vertical="center"/>
    </xf>
    <xf numFmtId="0" fontId="21" fillId="9" borderId="0" xfId="0" applyFont="1" applyFill="1" applyAlignment="1">
      <alignment horizontal="center" vertical="center"/>
    </xf>
    <xf numFmtId="0" fontId="21" fillId="9" borderId="40" xfId="0" applyFont="1" applyFill="1" applyBorder="1" applyAlignment="1">
      <alignment horizontal="center" vertical="center"/>
    </xf>
    <xf numFmtId="0" fontId="21" fillId="9" borderId="41" xfId="0" applyFont="1" applyFill="1" applyBorder="1" applyAlignment="1">
      <alignment horizontal="center" vertical="center"/>
    </xf>
    <xf numFmtId="0" fontId="21" fillId="9" borderId="42" xfId="0" applyFont="1" applyFill="1" applyBorder="1" applyAlignment="1">
      <alignment horizontal="center" vertical="center"/>
    </xf>
    <xf numFmtId="0" fontId="21" fillId="9" borderId="43" xfId="0" applyFont="1" applyFill="1" applyBorder="1" applyAlignment="1">
      <alignment horizontal="center" vertical="center"/>
    </xf>
    <xf numFmtId="0" fontId="2" fillId="11" borderId="0" xfId="0" applyFont="1" applyFill="1" applyAlignment="1">
      <alignment vertical="center" wrapText="1"/>
    </xf>
    <xf numFmtId="0" fontId="22" fillId="9" borderId="44" xfId="0" applyFont="1" applyFill="1" applyBorder="1" applyAlignment="1">
      <alignment horizontal="center" vertical="center"/>
    </xf>
    <xf numFmtId="0" fontId="22" fillId="9" borderId="45" xfId="0" applyFont="1" applyFill="1" applyBorder="1" applyAlignment="1">
      <alignment horizontal="center" vertical="center"/>
    </xf>
    <xf numFmtId="0" fontId="22" fillId="9" borderId="46" xfId="0" applyFont="1" applyFill="1" applyBorder="1" applyAlignment="1">
      <alignment horizontal="center" vertical="center"/>
    </xf>
    <xf numFmtId="0" fontId="22" fillId="9" borderId="47" xfId="0" applyFont="1" applyFill="1" applyBorder="1" applyAlignment="1">
      <alignment horizontal="center" vertical="center"/>
    </xf>
    <xf numFmtId="0" fontId="22" fillId="9" borderId="0" xfId="0" applyFont="1" applyFill="1" applyAlignment="1">
      <alignment horizontal="center" vertical="center"/>
    </xf>
    <xf numFmtId="0" fontId="22" fillId="9" borderId="48" xfId="0" applyFont="1" applyFill="1" applyBorder="1" applyAlignment="1">
      <alignment horizontal="center" vertical="center"/>
    </xf>
    <xf numFmtId="0" fontId="22" fillId="9" borderId="49" xfId="0" applyFont="1" applyFill="1" applyBorder="1" applyAlignment="1">
      <alignment horizontal="center" vertical="center"/>
    </xf>
    <xf numFmtId="0" fontId="22" fillId="9" borderId="50" xfId="0" applyFont="1" applyFill="1" applyBorder="1" applyAlignment="1">
      <alignment horizontal="center" vertical="center"/>
    </xf>
    <xf numFmtId="0" fontId="22" fillId="9" borderId="51" xfId="0" applyFont="1" applyFill="1" applyBorder="1" applyAlignment="1">
      <alignment horizontal="center" vertical="center"/>
    </xf>
    <xf numFmtId="0" fontId="7" fillId="2" borderId="0" xfId="0" applyFont="1" applyFill="1"/>
    <xf numFmtId="0" fontId="8" fillId="3" borderId="0" xfId="0" applyFont="1" applyFill="1" applyAlignment="1">
      <alignment vertical="center" wrapText="1"/>
    </xf>
    <xf numFmtId="0" fontId="6" fillId="13" borderId="0" xfId="0" applyFont="1" applyFill="1" applyAlignment="1">
      <alignment vertical="center" wrapText="1"/>
    </xf>
    <xf numFmtId="0" fontId="10" fillId="8" borderId="44" xfId="0" applyFont="1" applyFill="1" applyBorder="1" applyAlignment="1">
      <alignment vertical="center" wrapText="1"/>
    </xf>
    <xf numFmtId="0" fontId="10" fillId="8" borderId="45" xfId="0" applyFont="1" applyFill="1" applyBorder="1" applyAlignment="1">
      <alignment vertical="center" wrapText="1"/>
    </xf>
    <xf numFmtId="0" fontId="10" fillId="8" borderId="46" xfId="0" applyFont="1" applyFill="1" applyBorder="1" applyAlignment="1">
      <alignment vertical="center" wrapText="1"/>
    </xf>
    <xf numFmtId="0" fontId="10" fillId="8" borderId="47" xfId="0" applyFont="1" applyFill="1" applyBorder="1" applyAlignment="1">
      <alignment vertical="center" wrapText="1"/>
    </xf>
    <xf numFmtId="0" fontId="10" fillId="8" borderId="0" xfId="0" applyFont="1" applyFill="1" applyAlignment="1">
      <alignment vertical="center" wrapText="1"/>
    </xf>
    <xf numFmtId="0" fontId="10" fillId="8" borderId="48" xfId="0" applyFont="1" applyFill="1" applyBorder="1" applyAlignment="1">
      <alignment vertical="center" wrapText="1"/>
    </xf>
    <xf numFmtId="0" fontId="10" fillId="8" borderId="49" xfId="0" applyFont="1" applyFill="1" applyBorder="1" applyAlignment="1">
      <alignment vertical="center" wrapText="1"/>
    </xf>
    <xf numFmtId="0" fontId="10" fillId="8" borderId="50" xfId="0" applyFont="1" applyFill="1" applyBorder="1" applyAlignment="1">
      <alignment vertical="center" wrapText="1"/>
    </xf>
    <xf numFmtId="0" fontId="10" fillId="8" borderId="51" xfId="0" applyFont="1" applyFill="1" applyBorder="1" applyAlignment="1">
      <alignment vertical="center" wrapText="1"/>
    </xf>
    <xf numFmtId="0" fontId="5" fillId="6" borderId="0" xfId="0" applyFont="1" applyFill="1" applyAlignment="1">
      <alignment vertical="center" wrapText="1"/>
    </xf>
    <xf numFmtId="0" fontId="4" fillId="11" borderId="56" xfId="0" applyFont="1" applyFill="1" applyBorder="1" applyAlignment="1">
      <alignment vertical="center" wrapText="1"/>
    </xf>
    <xf numFmtId="0" fontId="4" fillId="11" borderId="57" xfId="0" applyFont="1" applyFill="1" applyBorder="1" applyAlignment="1">
      <alignment vertical="center" wrapText="1"/>
    </xf>
    <xf numFmtId="0" fontId="4" fillId="11" borderId="58" xfId="0" applyFont="1" applyFill="1" applyBorder="1" applyAlignment="1">
      <alignment vertical="center" wrapText="1"/>
    </xf>
    <xf numFmtId="0" fontId="2" fillId="4" borderId="59" xfId="0" applyFont="1" applyFill="1" applyBorder="1" applyAlignment="1">
      <alignment vertical="center" wrapText="1"/>
    </xf>
    <xf numFmtId="0" fontId="5" fillId="3" borderId="0" xfId="0" applyFont="1" applyFill="1" applyAlignment="1">
      <alignment vertical="center" wrapText="1"/>
    </xf>
    <xf numFmtId="0" fontId="5" fillId="3" borderId="60" xfId="0" applyFont="1" applyFill="1" applyBorder="1" applyAlignment="1">
      <alignment vertical="center" wrapText="1"/>
    </xf>
    <xf numFmtId="0" fontId="2" fillId="2" borderId="59" xfId="0" applyFont="1" applyFill="1" applyBorder="1" applyAlignment="1">
      <alignment vertical="center" wrapText="1"/>
    </xf>
    <xf numFmtId="0" fontId="23" fillId="14" borderId="52" xfId="0" applyFont="1" applyFill="1" applyBorder="1" applyAlignment="1">
      <alignment vertical="top" wrapText="1"/>
    </xf>
    <xf numFmtId="0" fontId="23" fillId="14" borderId="53" xfId="0" applyFont="1" applyFill="1" applyBorder="1" applyAlignment="1">
      <alignment vertical="top" wrapText="1"/>
    </xf>
    <xf numFmtId="0" fontId="23" fillId="14" borderId="61" xfId="0" applyFont="1" applyFill="1" applyBorder="1" applyAlignment="1">
      <alignment vertical="top" wrapText="1"/>
    </xf>
    <xf numFmtId="0" fontId="23" fillId="14" borderId="54" xfId="0" applyFont="1" applyFill="1" applyBorder="1" applyAlignment="1">
      <alignment vertical="top" wrapText="1"/>
    </xf>
    <xf numFmtId="0" fontId="23" fillId="14" borderId="0" xfId="0" applyFont="1" applyFill="1" applyAlignment="1">
      <alignment vertical="top" wrapText="1"/>
    </xf>
    <xf numFmtId="0" fontId="23" fillId="14" borderId="60" xfId="0" applyFont="1" applyFill="1" applyBorder="1" applyAlignment="1">
      <alignment vertical="top" wrapText="1"/>
    </xf>
    <xf numFmtId="0" fontId="23" fillId="14" borderId="55" xfId="0" applyFont="1" applyFill="1" applyBorder="1" applyAlignment="1">
      <alignment vertical="top" wrapText="1"/>
    </xf>
    <xf numFmtId="0" fontId="23" fillId="14" borderId="2" xfId="0" applyFont="1" applyFill="1" applyBorder="1" applyAlignment="1">
      <alignment vertical="top" wrapText="1"/>
    </xf>
    <xf numFmtId="0" fontId="23" fillId="14" borderId="62" xfId="0" applyFont="1" applyFill="1" applyBorder="1" applyAlignment="1">
      <alignment vertical="top" wrapText="1"/>
    </xf>
    <xf numFmtId="0" fontId="2" fillId="11" borderId="59" xfId="0" applyFont="1" applyFill="1" applyBorder="1" applyAlignment="1">
      <alignment vertical="center" wrapText="1"/>
    </xf>
    <xf numFmtId="0" fontId="3" fillId="8" borderId="0" xfId="0" applyFont="1" applyFill="1" applyAlignment="1">
      <alignment vertical="center" wrapText="1"/>
    </xf>
    <xf numFmtId="0" fontId="3" fillId="8" borderId="60" xfId="0" applyFont="1" applyFill="1" applyBorder="1" applyAlignment="1">
      <alignment vertical="center" wrapText="1"/>
    </xf>
    <xf numFmtId="0" fontId="2" fillId="12" borderId="59" xfId="0" applyFont="1" applyFill="1" applyBorder="1" applyAlignment="1">
      <alignment vertical="center" wrapText="1"/>
    </xf>
    <xf numFmtId="0" fontId="2" fillId="12" borderId="0" xfId="0" applyFont="1" applyFill="1" applyAlignment="1">
      <alignment vertical="center" wrapText="1"/>
    </xf>
    <xf numFmtId="0" fontId="13" fillId="7" borderId="0" xfId="0" applyFont="1" applyFill="1" applyAlignment="1">
      <alignment vertical="center" wrapText="1"/>
    </xf>
    <xf numFmtId="0" fontId="13" fillId="7" borderId="60" xfId="0" applyFont="1" applyFill="1" applyBorder="1" applyAlignment="1">
      <alignment vertical="center" wrapText="1"/>
    </xf>
    <xf numFmtId="0" fontId="2" fillId="15" borderId="59" xfId="0" applyFont="1" applyFill="1" applyBorder="1" applyAlignment="1">
      <alignment vertical="center" wrapText="1"/>
    </xf>
    <xf numFmtId="0" fontId="2" fillId="15" borderId="0" xfId="0" applyFont="1" applyFill="1" applyAlignment="1">
      <alignment vertical="center" wrapText="1"/>
    </xf>
    <xf numFmtId="0" fontId="2" fillId="15" borderId="63" xfId="0" applyFont="1" applyFill="1" applyBorder="1" applyAlignment="1">
      <alignment vertical="center" wrapText="1"/>
    </xf>
    <xf numFmtId="0" fontId="2" fillId="15" borderId="64" xfId="0" applyFont="1" applyFill="1" applyBorder="1" applyAlignment="1">
      <alignment vertical="center" wrapText="1"/>
    </xf>
    <xf numFmtId="0" fontId="3" fillId="13" borderId="0" xfId="0" applyFont="1" applyFill="1" applyAlignment="1">
      <alignment vertical="center" wrapText="1"/>
    </xf>
    <xf numFmtId="0" fontId="3" fillId="13" borderId="60" xfId="0" applyFont="1" applyFill="1" applyBorder="1" applyAlignment="1">
      <alignment vertical="center" wrapText="1"/>
    </xf>
    <xf numFmtId="0" fontId="3" fillId="13" borderId="64" xfId="0" applyFont="1" applyFill="1" applyBorder="1" applyAlignment="1">
      <alignment vertical="center" wrapText="1"/>
    </xf>
    <xf numFmtId="0" fontId="3" fillId="13" borderId="65" xfId="0" applyFont="1" applyFill="1" applyBorder="1" applyAlignment="1">
      <alignment vertical="center" wrapText="1"/>
    </xf>
    <xf numFmtId="0" fontId="4" fillId="2" borderId="0" xfId="0" applyFont="1" applyFill="1" applyAlignment="1">
      <alignment horizontal="center" vertical="center"/>
    </xf>
    <xf numFmtId="0" fontId="5" fillId="7" borderId="0" xfId="0" applyFont="1" applyFill="1" applyAlignment="1">
      <alignment vertical="center" wrapText="1"/>
    </xf>
    <xf numFmtId="0" fontId="6" fillId="7" borderId="0" xfId="0" applyFont="1" applyFill="1" applyAlignment="1">
      <alignment wrapText="1"/>
    </xf>
    <xf numFmtId="0" fontId="24" fillId="9" borderId="4" xfId="0" applyFont="1" applyFill="1" applyBorder="1" applyAlignment="1">
      <alignment horizontal="center" vertical="center"/>
    </xf>
    <xf numFmtId="0" fontId="24" fillId="9" borderId="5" xfId="0" applyFont="1" applyFill="1" applyBorder="1" applyAlignment="1">
      <alignment horizontal="center" vertical="center"/>
    </xf>
    <xf numFmtId="0" fontId="25" fillId="9" borderId="6" xfId="0" applyFont="1" applyFill="1" applyBorder="1" applyAlignment="1">
      <alignment horizontal="center" vertical="center"/>
    </xf>
    <xf numFmtId="0" fontId="25" fillId="9" borderId="7" xfId="0" applyFont="1" applyFill="1" applyBorder="1" applyAlignment="1">
      <alignment horizontal="center" vertical="center"/>
    </xf>
    <xf numFmtId="0" fontId="26" fillId="9" borderId="8" xfId="0" applyFont="1" applyFill="1" applyBorder="1" applyAlignment="1">
      <alignment horizontal="center" vertical="center"/>
    </xf>
    <xf numFmtId="0" fontId="26" fillId="9" borderId="9" xfId="0" applyFont="1" applyFill="1" applyBorder="1" applyAlignment="1">
      <alignment horizontal="center" vertical="center"/>
    </xf>
    <xf numFmtId="0" fontId="27" fillId="9" borderId="10" xfId="0" applyFont="1" applyFill="1" applyBorder="1" applyAlignment="1">
      <alignment horizontal="center" vertical="center"/>
    </xf>
    <xf numFmtId="0" fontId="27" fillId="9" borderId="11" xfId="0" applyFont="1" applyFill="1" applyBorder="1" applyAlignment="1">
      <alignment horizontal="center" vertical="center"/>
    </xf>
    <xf numFmtId="0" fontId="7" fillId="4" borderId="0" xfId="0" applyFont="1" applyFill="1" applyAlignment="1">
      <alignment vertical="center" wrapText="1"/>
    </xf>
    <xf numFmtId="0" fontId="5" fillId="3" borderId="12" xfId="0" applyFont="1" applyFill="1" applyBorder="1" applyAlignment="1">
      <alignment vertical="center" wrapText="1"/>
    </xf>
    <xf numFmtId="0" fontId="5" fillId="3" borderId="13" xfId="0" applyFont="1" applyFill="1" applyBorder="1" applyAlignment="1">
      <alignment vertical="center" wrapText="1"/>
    </xf>
    <xf numFmtId="0" fontId="5" fillId="3" borderId="14" xfId="0" applyFont="1" applyFill="1" applyBorder="1" applyAlignment="1">
      <alignment vertical="center" wrapText="1"/>
    </xf>
    <xf numFmtId="0" fontId="5" fillId="3" borderId="15" xfId="0" applyFont="1" applyFill="1" applyBorder="1" applyAlignment="1">
      <alignment vertical="center" wrapText="1"/>
    </xf>
    <xf numFmtId="0" fontId="5" fillId="3" borderId="16" xfId="0" applyFont="1" applyFill="1" applyBorder="1" applyAlignment="1">
      <alignment vertical="center" wrapText="1"/>
    </xf>
    <xf numFmtId="0" fontId="5" fillId="3" borderId="17" xfId="0" applyFont="1" applyFill="1" applyBorder="1" applyAlignment="1">
      <alignment vertical="center" wrapText="1"/>
    </xf>
    <xf numFmtId="0" fontId="5" fillId="3" borderId="18" xfId="0" applyFont="1" applyFill="1" applyBorder="1" applyAlignment="1">
      <alignment vertical="center" wrapText="1"/>
    </xf>
    <xf numFmtId="0" fontId="5" fillId="3" borderId="19" xfId="0" applyFont="1" applyFill="1" applyBorder="1" applyAlignment="1">
      <alignment vertical="center" wrapText="1"/>
    </xf>
    <xf numFmtId="0" fontId="15" fillId="3" borderId="0" xfId="0" applyFont="1" applyFill="1" applyAlignment="1">
      <alignment vertical="center" wrapText="1"/>
    </xf>
    <xf numFmtId="0" fontId="5" fillId="7" borderId="66" xfId="0" applyFont="1" applyFill="1" applyBorder="1" applyAlignment="1">
      <alignment vertical="center" wrapText="1"/>
    </xf>
    <xf numFmtId="0" fontId="5" fillId="7" borderId="67" xfId="0" applyFont="1" applyFill="1" applyBorder="1" applyAlignment="1">
      <alignment vertical="center" wrapText="1"/>
    </xf>
    <xf numFmtId="0" fontId="5" fillId="7" borderId="68" xfId="0" applyFont="1" applyFill="1" applyBorder="1" applyAlignment="1">
      <alignment vertical="center" wrapText="1"/>
    </xf>
    <xf numFmtId="0" fontId="5" fillId="7" borderId="69" xfId="0" applyFont="1" applyFill="1" applyBorder="1" applyAlignment="1">
      <alignment vertical="center" wrapText="1"/>
    </xf>
    <xf numFmtId="0" fontId="5" fillId="7" borderId="70" xfId="0" applyFont="1" applyFill="1" applyBorder="1" applyAlignment="1">
      <alignment vertical="center" wrapText="1"/>
    </xf>
    <xf numFmtId="0" fontId="5" fillId="7" borderId="71" xfId="0" applyFont="1" applyFill="1" applyBorder="1" applyAlignment="1">
      <alignment vertical="center" wrapText="1"/>
    </xf>
    <xf numFmtId="0" fontId="5" fillId="7" borderId="72" xfId="0" applyFont="1" applyFill="1" applyBorder="1" applyAlignment="1">
      <alignment vertical="center" wrapText="1"/>
    </xf>
    <xf numFmtId="0" fontId="5" fillId="7" borderId="73" xfId="0" applyFont="1" applyFill="1" applyBorder="1" applyAlignment="1">
      <alignment vertical="center" wrapText="1"/>
    </xf>
    <xf numFmtId="0" fontId="16"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AU" sz="975"/>
              <a:t>229 valid; 4 supplied queries require correction</a:t>
            </a:r>
          </a:p>
        </c:rich>
      </c:tx>
      <c:overlay val="0"/>
    </c:title>
    <c:autoTitleDeleted val="0"/>
    <c:plotArea>
      <c:layout/>
      <c:barChart>
        <c:barDir val="col"/>
        <c:grouping val="clustered"/>
        <c:varyColors val="0"/>
        <c:ser>
          <c:idx val="0"/>
          <c:order val="0"/>
          <c:tx>
            <c:v>Verified</c:v>
          </c:tx>
          <c:spPr>
            <a:solidFill>
              <a:srgbClr val="2E7D32"/>
            </a:solidFill>
          </c:spPr>
          <c:invertIfNegative val="1"/>
          <c:cat>
            <c:strRef>
              <c:f>'Executive Summary'!$A$12</c:f>
              <c:strCache>
                <c:ptCount val="1"/>
                <c:pt idx="0">
                  <c:v>Count</c:v>
                </c:pt>
              </c:strCache>
            </c:strRef>
          </c:cat>
          <c:val>
            <c:numRef>
              <c:f>'Executive Summary'!$B$12</c:f>
              <c:numCache>
                <c:formatCode>General</c:formatCode>
                <c:ptCount val="1"/>
                <c:pt idx="0">
                  <c:v>222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8C7-4BF9-A5B8-CD860B1984CF}"/>
            </c:ext>
          </c:extLst>
        </c:ser>
        <c:ser>
          <c:idx val="1"/>
          <c:order val="1"/>
          <c:tx>
            <c:v>Verified with caveat</c:v>
          </c:tx>
          <c:spPr>
            <a:solidFill>
              <a:srgbClr val="ED7D31"/>
            </a:solidFill>
          </c:spPr>
          <c:invertIfNegative val="1"/>
          <c:cat>
            <c:strRef>
              <c:f>'Executive Summary'!$A$12</c:f>
              <c:strCache>
                <c:ptCount val="1"/>
                <c:pt idx="0">
                  <c:v>Count</c:v>
                </c:pt>
              </c:strCache>
            </c:strRef>
          </c:cat>
          <c:val>
            <c:numRef>
              <c:f>'Executive Summary'!$C$12</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38C7-4BF9-A5B8-CD860B1984CF}"/>
            </c:ext>
          </c:extLst>
        </c:ser>
        <c:ser>
          <c:idx val="2"/>
          <c:order val="2"/>
          <c:tx>
            <c:v>Gold defect</c:v>
          </c:tx>
          <c:spPr>
            <a:solidFill>
              <a:srgbClr val="2E75B6"/>
            </a:solidFill>
          </c:spPr>
          <c:invertIfNegative val="1"/>
          <c:cat>
            <c:strRef>
              <c:f>'Executive Summary'!$A$12</c:f>
              <c:strCache>
                <c:ptCount val="1"/>
                <c:pt idx="0">
                  <c:v>Count</c:v>
                </c:pt>
              </c:strCache>
            </c:strRef>
          </c:cat>
          <c:val>
            <c:numRef>
              <c:f>'Executive Summary'!$D$12</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38C7-4BF9-A5B8-CD860B1984CF}"/>
            </c:ext>
          </c:extLst>
        </c:ser>
        <c:ser>
          <c:idx val="3"/>
          <c:order val="3"/>
          <c:tx>
            <c:v>Needs correction</c:v>
          </c:tx>
          <c:spPr>
            <a:solidFill>
              <a:srgbClr val="C62828"/>
            </a:solidFill>
          </c:spPr>
          <c:invertIfNegative val="1"/>
          <c:cat>
            <c:strRef>
              <c:f>'Executive Summary'!$A$12</c:f>
              <c:strCache>
                <c:ptCount val="1"/>
                <c:pt idx="0">
                  <c:v>Count</c:v>
                </c:pt>
              </c:strCache>
            </c:strRef>
          </c:cat>
          <c:val>
            <c:numRef>
              <c:f>'Executive Summary'!$E$12</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3-38C7-4BF9-A5B8-CD860B1984C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t>All task families executed</a:t>
            </a:r>
          </a:p>
        </c:rich>
      </c:tx>
      <c:overlay val="0"/>
    </c:title>
    <c:autoTitleDeleted val="0"/>
    <c:plotArea>
      <c:layout/>
      <c:barChart>
        <c:barDir val="col"/>
        <c:grouping val="clustered"/>
        <c:varyColors val="0"/>
        <c:ser>
          <c:idx val="0"/>
          <c:order val="0"/>
          <c:tx>
            <c:v>Cases</c:v>
          </c:tx>
          <c:spPr>
            <a:solidFill>
              <a:srgbClr val="0F6B78"/>
            </a:solidFill>
          </c:spPr>
          <c:invertIfNegative val="1"/>
          <c:cat>
            <c:strRef>
              <c:f>'Executive Summary'!$J$12:$J$16</c:f>
              <c:strCache>
                <c:ptCount val="5"/>
                <c:pt idx="0">
                  <c:v>sql</c:v>
                </c:pt>
                <c:pt idx="1">
                  <c:v>geopandas</c:v>
                </c:pt>
                <c:pt idx="2">
                  <c:v>python</c:v>
                </c:pt>
                <c:pt idx="3">
                  <c:v>viz</c:v>
                </c:pt>
                <c:pt idx="4">
                  <c:v>refusal</c:v>
                </c:pt>
              </c:strCache>
            </c:strRef>
          </c:cat>
          <c:val>
            <c:numRef>
              <c:f>'Executive Summary'!$K$12:$K$16</c:f>
              <c:numCache>
                <c:formatCode>General</c:formatCode>
                <c:ptCount val="5"/>
                <c:pt idx="0">
                  <c:v>97</c:v>
                </c:pt>
                <c:pt idx="1">
                  <c:v>54</c:v>
                </c:pt>
                <c:pt idx="2">
                  <c:v>35</c:v>
                </c:pt>
                <c:pt idx="3">
                  <c:v>45</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7EE-446E-9729-79A1872136A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t>Exceptions by scenario</a:t>
            </a:r>
          </a:p>
        </c:rich>
      </c:tx>
      <c:overlay val="0"/>
    </c:title>
    <c:autoTitleDeleted val="0"/>
    <c:plotArea>
      <c:layout/>
      <c:barChart>
        <c:barDir val="col"/>
        <c:grouping val="clustered"/>
        <c:varyColors val="0"/>
        <c:ser>
          <c:idx val="0"/>
          <c:order val="0"/>
          <c:tx>
            <c:v>Valid tie caveat</c:v>
          </c:tx>
          <c:spPr>
            <a:solidFill>
              <a:srgbClr val="ED7D31"/>
            </a:solidFill>
          </c:spPr>
          <c:invertIfNegative val="1"/>
          <c:cat>
            <c:strRef>
              <c:f>'Executive Summary'!$A$37:$A$39</c:f>
              <c:strCache>
                <c:ptCount val="3"/>
                <c:pt idx="0">
                  <c:v>NS</c:v>
                </c:pt>
                <c:pt idx="1">
                  <c:v>SS</c:v>
                </c:pt>
                <c:pt idx="2">
                  <c:v>CD</c:v>
                </c:pt>
              </c:strCache>
            </c:strRef>
          </c:cat>
          <c:val>
            <c:numRef>
              <c:f>'Executive Summary'!$B$37:$B$39</c:f>
              <c:numCache>
                <c:formatCode>General</c:formatCode>
                <c:ptCount val="3"/>
                <c:pt idx="0">
                  <c:v>0</c:v>
                </c:pt>
                <c:pt idx="1">
                  <c:v>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5A7-4577-956A-8828F399F2BE}"/>
            </c:ext>
          </c:extLst>
        </c:ser>
        <c:ser>
          <c:idx val="1"/>
          <c:order val="1"/>
          <c:tx>
            <c:v>Gold defect</c:v>
          </c:tx>
          <c:spPr>
            <a:solidFill>
              <a:srgbClr val="2E75B6"/>
            </a:solidFill>
          </c:spPr>
          <c:invertIfNegative val="1"/>
          <c:cat>
            <c:strRef>
              <c:f>'Executive Summary'!$A$37:$A$39</c:f>
              <c:strCache>
                <c:ptCount val="3"/>
                <c:pt idx="0">
                  <c:v>NS</c:v>
                </c:pt>
                <c:pt idx="1">
                  <c:v>SS</c:v>
                </c:pt>
                <c:pt idx="2">
                  <c:v>CD</c:v>
                </c:pt>
              </c:strCache>
            </c:strRef>
          </c:cat>
          <c:val>
            <c:numRef>
              <c:f>'Executive Summary'!$C$37:$C$39</c:f>
              <c:numCache>
                <c:formatCode>General</c:formatCode>
                <c:ptCount val="3"/>
                <c:pt idx="0">
                  <c:v>1</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E5A7-4577-956A-8828F399F2BE}"/>
            </c:ext>
          </c:extLst>
        </c:ser>
        <c:ser>
          <c:idx val="2"/>
          <c:order val="2"/>
          <c:tx>
            <c:v>Correction</c:v>
          </c:tx>
          <c:spPr>
            <a:solidFill>
              <a:srgbClr val="C62828"/>
            </a:solidFill>
          </c:spPr>
          <c:invertIfNegative val="1"/>
          <c:cat>
            <c:strRef>
              <c:f>'Executive Summary'!$A$37:$A$39</c:f>
              <c:strCache>
                <c:ptCount val="3"/>
                <c:pt idx="0">
                  <c:v>NS</c:v>
                </c:pt>
                <c:pt idx="1">
                  <c:v>SS</c:v>
                </c:pt>
                <c:pt idx="2">
                  <c:v>CD</c:v>
                </c:pt>
              </c:strCache>
            </c:strRef>
          </c:cat>
          <c:val>
            <c:numRef>
              <c:f>'Executive Summary'!$D$37:$D$39</c:f>
              <c:numCache>
                <c:formatCode>General</c:formatCode>
                <c:ptCount val="3"/>
                <c:pt idx="0">
                  <c:v>0</c:v>
                </c:pt>
                <c:pt idx="1">
                  <c:v>1</c:v>
                </c:pt>
                <c:pt idx="2">
                  <c:v>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E5A7-4577-956A-8828F399F2B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t>Documented source-data warnings</a:t>
            </a:r>
          </a:p>
        </c:rich>
      </c:tx>
      <c:overlay val="0"/>
    </c:title>
    <c:autoTitleDeleted val="0"/>
    <c:plotArea>
      <c:layout/>
      <c:barChart>
        <c:barDir val="col"/>
        <c:grouping val="clustered"/>
        <c:varyColors val="0"/>
        <c:ser>
          <c:idx val="0"/>
          <c:order val="0"/>
          <c:tx>
            <c:v>Count</c:v>
          </c:tx>
          <c:spPr>
            <a:solidFill>
              <a:srgbClr val="ED7D31"/>
            </a:solidFill>
          </c:spPr>
          <c:invertIfNegative val="1"/>
          <c:cat>
            <c:strRef>
              <c:f>'Executive Summary'!$J$37:$J$40</c:f>
              <c:strCache>
                <c:ptCount val="4"/>
                <c:pt idx="0">
                  <c:v>Sentinel / invalid value</c:v>
                </c:pt>
                <c:pt idx="1">
                  <c:v>Extreme / unit review</c:v>
                </c:pt>
                <c:pt idx="2">
                  <c:v>Missing identifier / null</c:v>
                </c:pt>
                <c:pt idx="3">
                  <c:v>Coverage / lineage</c:v>
                </c:pt>
              </c:strCache>
            </c:strRef>
          </c:cat>
          <c:val>
            <c:numRef>
              <c:f>'Executive Summary'!$K$37:$K$40</c:f>
              <c:numCache>
                <c:formatCode>General</c:formatCode>
                <c:ptCount val="4"/>
                <c:pt idx="0">
                  <c:v>8</c:v>
                </c:pt>
                <c:pt idx="1">
                  <c:v>7</c:v>
                </c:pt>
                <c:pt idx="2">
                  <c:v>2</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852-4302-BF03-8E04A89F92D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t>Documented warnings by type</a:t>
            </a:r>
          </a:p>
        </c:rich>
      </c:tx>
      <c:overlay val="0"/>
    </c:title>
    <c:autoTitleDeleted val="0"/>
    <c:plotArea>
      <c:layout/>
      <c:barChart>
        <c:barDir val="col"/>
        <c:grouping val="clustered"/>
        <c:varyColors val="0"/>
        <c:ser>
          <c:idx val="0"/>
          <c:order val="0"/>
          <c:tx>
            <c:v>Count</c:v>
          </c:tx>
          <c:spPr>
            <a:solidFill>
              <a:srgbClr val="ED7D31"/>
            </a:solidFill>
          </c:spPr>
          <c:invertIfNegative val="1"/>
          <c:cat>
            <c:strRef>
              <c:f>'Data Quality Warnings'!$A$6:$A$9</c:f>
              <c:strCache>
                <c:ptCount val="4"/>
                <c:pt idx="0">
                  <c:v>Sentinel / invalid value</c:v>
                </c:pt>
                <c:pt idx="1">
                  <c:v>Extreme / unit review</c:v>
                </c:pt>
                <c:pt idx="2">
                  <c:v>Missing identifier / null</c:v>
                </c:pt>
                <c:pt idx="3">
                  <c:v>Coverage / lineage</c:v>
                </c:pt>
              </c:strCache>
            </c:strRef>
          </c:cat>
          <c:val>
            <c:numRef>
              <c:f>'Data Quality Warnings'!$B$6:$B$9</c:f>
              <c:numCache>
                <c:formatCode>0</c:formatCode>
                <c:ptCount val="4"/>
                <c:pt idx="0">
                  <c:v>8</c:v>
                </c:pt>
                <c:pt idx="1">
                  <c:v>7</c:v>
                </c:pt>
                <c:pt idx="2">
                  <c:v>2</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835-44DC-8283-80928EFF9CF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t>Ziyue query-review results</a:t>
            </a:r>
          </a:p>
        </c:rich>
      </c:tx>
      <c:overlay val="0"/>
    </c:title>
    <c:autoTitleDeleted val="0"/>
    <c:plotArea>
      <c:layout/>
      <c:barChart>
        <c:barDir val="col"/>
        <c:grouping val="clustered"/>
        <c:varyColors val="0"/>
        <c:ser>
          <c:idx val="0"/>
          <c:order val="0"/>
          <c:tx>
            <c:v>Queries</c:v>
          </c:tx>
          <c:spPr>
            <a:solidFill>
              <a:srgbClr val="0F6B78"/>
            </a:solidFill>
          </c:spPr>
          <c:invertIfNegative val="1"/>
          <c:cat>
            <c:strRef>
              <c:f>'Ziyue Review'!$A$15:$A$16</c:f>
              <c:strCache>
                <c:ptCount val="2"/>
                <c:pt idx="0">
                  <c:v>PASS</c:v>
                </c:pt>
                <c:pt idx="1">
                  <c:v>XFAIL</c:v>
                </c:pt>
              </c:strCache>
            </c:strRef>
          </c:cat>
          <c:val>
            <c:numRef>
              <c:f>'Ziyue Review'!$B$15:$B$16</c:f>
              <c:numCache>
                <c:formatCode>General</c:formatCode>
                <c:ptCount val="2"/>
                <c:pt idx="0">
                  <c:v>46</c:v>
                </c:pt>
                <c:pt idx="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46C-4A7B-AD02-CAD396D7394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8</xdr:col>
      <xdr:colOff>0</xdr:colOff>
      <xdr:row>32</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17</xdr:row>
      <xdr:rowOff>0</xdr:rowOff>
    </xdr:from>
    <xdr:to>
      <xdr:col>16</xdr:col>
      <xdr:colOff>0</xdr:colOff>
      <xdr:row>32</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0</xdr:rowOff>
    </xdr:from>
    <xdr:to>
      <xdr:col>8</xdr:col>
      <xdr:colOff>0</xdr:colOff>
      <xdr:row>58</xdr:row>
      <xdr:rowOff>0</xdr:rowOff>
    </xdr:to>
    <xdr:graphicFrame macro="">
      <xdr:nvGraphicFramePr>
        <xdr:cNvPr id="4" nam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41</xdr:row>
      <xdr:rowOff>0</xdr:rowOff>
    </xdr:from>
    <xdr:to>
      <xdr:col>16</xdr:col>
      <xdr:colOff>0</xdr:colOff>
      <xdr:row>58</xdr:row>
      <xdr:rowOff>0</xdr:rowOff>
    </xdr:to>
    <xdr:graphicFrame macro="">
      <xdr:nvGraphicFramePr>
        <xdr:cNvPr id="5" nam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0</xdr:rowOff>
    </xdr:from>
    <xdr:to>
      <xdr:col>8</xdr:col>
      <xdr:colOff>0</xdr:colOff>
      <xdr:row>16</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4</xdr:row>
      <xdr:rowOff>0</xdr:rowOff>
    </xdr:from>
    <xdr:to>
      <xdr:col>8</xdr:col>
      <xdr:colOff>0</xdr:colOff>
      <xdr:row>18</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QueryErrorRegisterTable" displayName="QueryErrorRegisterTable" ref="A5:L9" totalsRowShown="0">
  <autoFilter ref="A5:L9" xr:uid="{00000000-0009-0000-0100-000004000000}"/>
  <tableColumns count="12">
    <tableColumn id="1" xr3:uid="{00000000-0010-0000-0000-000001000000}" name="QID"/>
    <tableColumn id="2" xr3:uid="{00000000-0010-0000-0000-000002000000}" name="Scenario"/>
    <tableColumn id="3" xr3:uid="{00000000-0010-0000-0000-000003000000}" name="Task"/>
    <tableColumn id="4" xr3:uid="{00000000-0010-0000-0000-000004000000}" name="English question"/>
    <tableColumn id="5" xr3:uid="{00000000-0010-0000-0000-000005000000}" name="Execution"/>
    <tableColumn id="6" xr3:uid="{00000000-0010-0000-0000-000006000000}" name="Runtime (s)"/>
    <tableColumn id="7" xr3:uid="{00000000-0010-0000-0000-000007000000}" name="Final verdict"/>
    <tableColumn id="8" xr3:uid="{00000000-0010-0000-0000-000008000000}" name="Actual output"/>
    <tableColumn id="9" xr3:uid="{00000000-0010-0000-0000-000009000000}" name="Gold output"/>
    <tableColumn id="10" xr3:uid="{00000000-0010-0000-0000-00000A000000}" name="Decisive error evidence"/>
    <tableColumn id="11" xr3:uid="{00000000-0010-0000-0000-00000B000000}" name="Required client decision / action"/>
    <tableColumn id="12" xr3:uid="{00000000-0010-0000-0000-00000C000000}" name="Resolution status"/>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aveatGoldRegisterTable" displayName="CaveatGoldRegisterTable" ref="A5:I12" totalsRowShown="0">
  <autoFilter ref="A5:I12" xr:uid="{00000000-0009-0000-0100-000005000000}"/>
  <tableColumns count="9">
    <tableColumn id="1" xr3:uid="{00000000-0010-0000-0100-000001000000}" name="QID"/>
    <tableColumn id="2" xr3:uid="{00000000-0010-0000-0100-000002000000}" name="Scenario"/>
    <tableColumn id="3" xr3:uid="{00000000-0010-0000-0100-000003000000}" name="Task"/>
    <tableColumn id="4" xr3:uid="{00000000-0010-0000-0100-000004000000}" name="Category"/>
    <tableColumn id="5" xr3:uid="{00000000-0010-0000-0100-000005000000}" name="English question"/>
    <tableColumn id="6" xr3:uid="{00000000-0010-0000-0100-000006000000}" name="Actual output"/>
    <tableColumn id="7" xr3:uid="{00000000-0010-0000-0100-000007000000}" name="Gold output"/>
    <tableColumn id="8" xr3:uid="{00000000-0010-0000-0100-000008000000}" name="Evidence"/>
    <tableColumn id="9" xr3:uid="{00000000-0010-0000-0100-000009000000}" name="Recommended ac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ataQualityWarningsTable" displayName="DataQualityWarningsTable" ref="A20:H38" totalsRowShown="0">
  <autoFilter ref="A20:H38" xr:uid="{00000000-0009-0000-0100-000002000000}"/>
  <tableColumns count="8">
    <tableColumn id="1" xr3:uid="{00000000-0010-0000-0200-000001000000}" name="QID"/>
    <tableColumn id="2" xr3:uid="{00000000-0010-0000-0200-000002000000}" name="Warning group"/>
    <tableColumn id="3" xr3:uid="{00000000-0010-0000-0200-000003000000}" name="Issue type"/>
    <tableColumn id="4" xr3:uid="{00000000-0010-0000-0200-000004000000}" name="Observed issue"/>
    <tableColumn id="5" xr3:uid="{00000000-0010-0000-0200-000005000000}" name="Query verdict"/>
    <tableColumn id="6" xr3:uid="{00000000-0010-0000-0200-000006000000}" name="Expert review"/>
    <tableColumn id="7" xr3:uid="{00000000-0010-0000-0200-000007000000}" name="Recommended treatment"/>
    <tableColumn id="8" xr3:uid="{00000000-0010-0000-0200-000008000000}" name="Source log"/>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ZiyueReviewTable" displayName="ZiyueReviewTable" ref="A22:F30" totalsRowShown="0">
  <autoFilter ref="A22:F30" xr:uid="{00000000-0009-0000-0100-000003000000}"/>
  <tableColumns count="6">
    <tableColumn id="1" xr3:uid="{00000000-0010-0000-0300-000001000000}" name="QID"/>
    <tableColumn id="2" xr3:uid="{00000000-0010-0000-0300-000002000000}" name="Classification"/>
    <tableColumn id="3" xr3:uid="{00000000-0010-0000-0300-000003000000}" name="Test result"/>
    <tableColumn id="4" xr3:uid="{00000000-0010-0000-0300-000004000000}" name="Gold valid"/>
    <tableColumn id="5" xr3:uid="{00000000-0010-0000-0300-000005000000}" name="Finding"/>
    <tableColumn id="6" xr3:uid="{00000000-0010-0000-0300-000006000000}" name="Report treatm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FullValidationTable" displayName="FullValidationTable" ref="A5:R238" totalsRowShown="0">
  <autoFilter ref="A5:R238" xr:uid="{00000000-0009-0000-0100-000001000000}"/>
  <tableColumns count="18">
    <tableColumn id="1" xr3:uid="{00000000-0010-0000-0400-000001000000}" name="Position"/>
    <tableColumn id="2" xr3:uid="{00000000-0010-0000-0400-000002000000}" name="QID"/>
    <tableColumn id="3" xr3:uid="{00000000-0010-0000-0400-000003000000}" name="Scenario"/>
    <tableColumn id="4" xr3:uid="{00000000-0010-0000-0400-000004000000}" name="Question type"/>
    <tableColumn id="5" xr3:uid="{00000000-0010-0000-0400-000005000000}" name="Task"/>
    <tableColumn id="6" xr3:uid="{00000000-0010-0000-0400-000006000000}" name="Difficulty"/>
    <tableColumn id="7" xr3:uid="{00000000-0010-0000-0400-000007000000}" name="Robustness"/>
    <tableColumn id="8" xr3:uid="{00000000-0010-0000-0400-000008000000}" name="English question"/>
    <tableColumn id="9" xr3:uid="{00000000-0010-0000-0400-000009000000}" name="Chinese question"/>
    <tableColumn id="10" xr3:uid="{00000000-0010-0000-0400-00000A000000}" name="Execution"/>
    <tableColumn id="11" xr3:uid="{00000000-0010-0000-0400-00000B000000}" name="Runtime (s)"/>
    <tableColumn id="12" xr3:uid="{00000000-0010-0000-0400-00000C000000}" name="Final category"/>
    <tableColumn id="13" xr3:uid="{00000000-0010-0000-0400-00000D000000}" name="Final verdict"/>
    <tableColumn id="14" xr3:uid="{00000000-0010-0000-0400-00000E000000}" name="Confidence"/>
    <tableColumn id="15" xr3:uid="{00000000-0010-0000-0400-00000F000000}" name="Actual output"/>
    <tableColumn id="16" xr3:uid="{00000000-0010-0000-0400-000010000000}" name="Gold output"/>
    <tableColumn id="17" xr3:uid="{00000000-0010-0000-0400-000011000000}" name="Evidence"/>
    <tableColumn id="18" xr3:uid="{00000000-0010-0000-0400-000012000000}" name="Recommended ac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lientRequirementsTable" displayName="ClientRequirementsTable" ref="A5:D12" totalsRowShown="0">
  <autoFilter ref="A5:D12" xr:uid="{00000000-0009-0000-0100-000006000000}"/>
  <tableColumns count="4">
    <tableColumn id="1" xr3:uid="{00000000-0010-0000-0500-000001000000}" name="Requirement"/>
    <tableColumn id="2" xr3:uid="{00000000-0010-0000-0500-000002000000}" name="Evidence"/>
    <tableColumn id="3" xr3:uid="{00000000-0010-0000-0500-000003000000}" name="Report implementation"/>
    <tableColumn id="4" xr3:uid="{00000000-0010-0000-0500-000004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atasetInventoryTable" displayName="DatasetInventoryTable" ref="A5:F40" totalsRowShown="0">
  <autoFilter ref="A5:F40" xr:uid="{00000000-0009-0000-0100-000007000000}"/>
  <tableColumns count="6">
    <tableColumn id="1" xr3:uid="{00000000-0010-0000-0600-000001000000}" name="Database"/>
    <tableColumn id="2" xr3:uid="{00000000-0010-0000-0600-000002000000}" name="Table"/>
    <tableColumn id="3" xr3:uid="{00000000-0010-0000-0600-000003000000}" name="Rows"/>
    <tableColumn id="4" xr3:uid="{00000000-0010-0000-0600-000004000000}" name="Columns"/>
    <tableColumn id="5" xr3:uid="{00000000-0010-0000-0600-000005000000}" name="Source file"/>
    <tableColumn id="6" xr3:uid="{00000000-0010-0000-0600-000006000000}" name="SHA-25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ourceRegisterTable" displayName="SourceRegisterTable" ref="A24:C30" totalsRowShown="0">
  <autoFilter ref="A24:C30" xr:uid="{00000000-0009-0000-0100-000008000000}"/>
  <tableColumns count="3">
    <tableColumn id="1" xr3:uid="{00000000-0010-0000-0700-000001000000}" name="Source"/>
    <tableColumn id="2" xr3:uid="{00000000-0010-0000-0700-000002000000}" name="Role"/>
    <tableColumn id="3" xr3:uid="{00000000-0010-0000-0700-000003000000}" name="Cover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
  <sheetViews>
    <sheetView showGridLines="0" tabSelected="1" workbookViewId="0">
      <selection sqref="A1:P2"/>
    </sheetView>
  </sheetViews>
  <sheetFormatPr defaultRowHeight="14"/>
  <cols>
    <col min="1" max="3" width="13" customWidth="1"/>
    <col min="4" max="4" width="9" customWidth="1"/>
    <col min="5" max="7" width="13" customWidth="1"/>
    <col min="8" max="8" width="3" customWidth="1"/>
    <col min="9" max="9" width="13" customWidth="1"/>
    <col min="10" max="10" width="18" customWidth="1"/>
    <col min="11" max="11" width="13" customWidth="1"/>
    <col min="12" max="12" width="3" customWidth="1"/>
    <col min="13" max="16" width="13" customWidth="1"/>
  </cols>
  <sheetData>
    <row r="1" spans="1:16" ht="27" customHeight="1">
      <c r="A1" s="37" t="s">
        <v>0</v>
      </c>
      <c r="B1" s="38"/>
      <c r="C1" s="38"/>
      <c r="D1" s="38"/>
      <c r="E1" s="38"/>
      <c r="F1" s="38"/>
      <c r="G1" s="38"/>
      <c r="H1" s="38"/>
      <c r="I1" s="38"/>
      <c r="J1" s="38"/>
      <c r="K1" s="38"/>
      <c r="L1" s="38"/>
      <c r="M1" s="38"/>
      <c r="N1" s="38"/>
      <c r="O1" s="38"/>
      <c r="P1" s="38"/>
    </row>
    <row r="2" spans="1:16" ht="27" customHeight="1">
      <c r="A2" s="38"/>
      <c r="B2" s="38"/>
      <c r="C2" s="38"/>
      <c r="D2" s="38"/>
      <c r="E2" s="38"/>
      <c r="F2" s="38"/>
      <c r="G2" s="38"/>
      <c r="H2" s="38"/>
      <c r="I2" s="38"/>
      <c r="J2" s="38"/>
      <c r="K2" s="38"/>
      <c r="L2" s="38"/>
      <c r="M2" s="38"/>
      <c r="N2" s="38"/>
      <c r="O2" s="38"/>
      <c r="P2" s="38"/>
    </row>
    <row r="3" spans="1:16" ht="30" customHeight="1">
      <c r="A3" s="39" t="s">
        <v>1</v>
      </c>
      <c r="B3" s="39"/>
      <c r="C3" s="39"/>
      <c r="D3" s="39"/>
      <c r="E3" s="39"/>
      <c r="F3" s="39"/>
      <c r="G3" s="39"/>
      <c r="H3" s="39"/>
      <c r="I3" s="39"/>
      <c r="J3" s="39"/>
      <c r="K3" s="39"/>
      <c r="L3" s="39"/>
      <c r="M3" s="39"/>
      <c r="N3" s="39"/>
      <c r="O3" s="39"/>
      <c r="P3" s="39"/>
    </row>
    <row r="4" spans="1:16" ht="14.5">
      <c r="A4" s="36"/>
      <c r="B4" s="36"/>
      <c r="C4" s="36"/>
      <c r="D4" s="36"/>
      <c r="E4" s="36"/>
      <c r="F4" s="36"/>
      <c r="G4" s="36"/>
      <c r="H4" s="36"/>
      <c r="I4" s="36"/>
      <c r="J4" s="36"/>
      <c r="K4" s="36"/>
      <c r="L4" s="36"/>
      <c r="M4" s="36"/>
      <c r="N4" s="36"/>
      <c r="O4" s="36"/>
      <c r="P4" s="36"/>
    </row>
    <row r="5" spans="1:16" ht="14.5">
      <c r="A5" s="40" t="s">
        <v>2</v>
      </c>
      <c r="B5" s="40"/>
      <c r="C5" s="40"/>
      <c r="D5" s="36"/>
      <c r="E5" s="50" t="s">
        <v>3</v>
      </c>
      <c r="F5" s="50"/>
      <c r="G5" s="50"/>
      <c r="H5" s="36"/>
      <c r="I5" s="60" t="s">
        <v>4</v>
      </c>
      <c r="J5" s="60"/>
      <c r="K5" s="60"/>
      <c r="L5" s="36"/>
      <c r="M5" s="70" t="s">
        <v>5</v>
      </c>
      <c r="N5" s="70"/>
      <c r="O5" s="70"/>
      <c r="P5" s="36"/>
    </row>
    <row r="6" spans="1:16" ht="24" customHeight="1">
      <c r="A6" s="41">
        <f>COUNTA('Full Validation'!$B$6:$B$238)</f>
        <v>233</v>
      </c>
      <c r="B6" s="42"/>
      <c r="C6" s="43"/>
      <c r="D6" s="36"/>
      <c r="E6" s="51">
        <f>COUNTIF('Full Validation'!$J$6:$J$238,"PASS")</f>
        <v>233</v>
      </c>
      <c r="F6" s="52"/>
      <c r="G6" s="53"/>
      <c r="H6" s="36"/>
      <c r="I6" s="61">
        <f>COUNTA('Full Validation'!$B$6:$B$238)-COUNTIF('Full Validation'!$L$6:$L$238,"Needs correction")</f>
        <v>229</v>
      </c>
      <c r="J6" s="62"/>
      <c r="K6" s="63"/>
      <c r="L6" s="36"/>
      <c r="M6" s="71">
        <f>COUNTIF('Full Validation'!$L$6:$L$238,"Needs correction")</f>
        <v>4</v>
      </c>
      <c r="N6" s="72"/>
      <c r="O6" s="73"/>
      <c r="P6" s="36"/>
    </row>
    <row r="7" spans="1:16" ht="24" customHeight="1">
      <c r="A7" s="44"/>
      <c r="B7" s="45"/>
      <c r="C7" s="46"/>
      <c r="D7" s="36"/>
      <c r="E7" s="54"/>
      <c r="F7" s="55"/>
      <c r="G7" s="56"/>
      <c r="H7" s="36"/>
      <c r="I7" s="64"/>
      <c r="J7" s="65"/>
      <c r="K7" s="66"/>
      <c r="L7" s="36"/>
      <c r="M7" s="74"/>
      <c r="N7" s="75"/>
      <c r="O7" s="76"/>
      <c r="P7" s="36"/>
    </row>
    <row r="8" spans="1:16" ht="24" customHeight="1">
      <c r="A8" s="47"/>
      <c r="B8" s="48"/>
      <c r="C8" s="49"/>
      <c r="D8" s="36"/>
      <c r="E8" s="57"/>
      <c r="F8" s="58"/>
      <c r="G8" s="59"/>
      <c r="H8" s="36"/>
      <c r="I8" s="67"/>
      <c r="J8" s="68"/>
      <c r="K8" s="69"/>
      <c r="L8" s="36"/>
      <c r="M8" s="77"/>
      <c r="N8" s="78"/>
      <c r="O8" s="79"/>
      <c r="P8" s="36"/>
    </row>
    <row r="9" spans="1:16" ht="14.5">
      <c r="A9" s="36"/>
      <c r="B9" s="36"/>
      <c r="C9" s="36"/>
      <c r="D9" s="36"/>
      <c r="E9" s="36"/>
      <c r="F9" s="36"/>
      <c r="G9" s="36"/>
      <c r="H9" s="36"/>
      <c r="I9" s="36"/>
      <c r="J9" s="36"/>
      <c r="K9" s="36"/>
      <c r="L9" s="36"/>
      <c r="M9" s="36"/>
      <c r="N9" s="36"/>
      <c r="O9" s="36"/>
      <c r="P9" s="36"/>
    </row>
    <row r="10" spans="1:16" ht="14.5">
      <c r="A10" s="36"/>
      <c r="B10" s="36"/>
      <c r="C10" s="36"/>
      <c r="D10" s="36"/>
      <c r="E10" s="36"/>
      <c r="F10" s="36"/>
      <c r="G10" s="36"/>
      <c r="H10" s="36"/>
      <c r="I10" s="36"/>
      <c r="J10" s="36"/>
      <c r="K10" s="36"/>
      <c r="L10" s="36"/>
      <c r="M10" s="36"/>
      <c r="N10" s="36"/>
      <c r="O10" s="36"/>
      <c r="P10" s="36"/>
    </row>
    <row r="11" spans="1:16" ht="34" customHeight="1">
      <c r="A11" s="1" t="s">
        <v>6</v>
      </c>
      <c r="B11" s="1" t="s">
        <v>7</v>
      </c>
      <c r="C11" s="1" t="s">
        <v>8</v>
      </c>
      <c r="D11" s="1" t="s">
        <v>9</v>
      </c>
      <c r="E11" s="1" t="s">
        <v>10</v>
      </c>
      <c r="F11" s="36"/>
      <c r="G11" s="36"/>
      <c r="H11" s="36"/>
      <c r="I11" s="36"/>
      <c r="J11" s="1" t="s">
        <v>11</v>
      </c>
      <c r="K11" s="1" t="s">
        <v>12</v>
      </c>
      <c r="L11" s="36"/>
      <c r="M11" s="36"/>
      <c r="N11" s="36"/>
      <c r="O11" s="36"/>
      <c r="P11" s="36"/>
    </row>
    <row r="12" spans="1:16" ht="14.5">
      <c r="A12" s="15" t="s">
        <v>13</v>
      </c>
      <c r="B12" s="15">
        <f>COUNTIF('Full Validation'!$L$6:$L$238,"Verified")</f>
        <v>222</v>
      </c>
      <c r="C12" s="15">
        <f>COUNTIF('Full Validation'!$L$6:$L$238,"Verified with caveat")</f>
        <v>6</v>
      </c>
      <c r="D12" s="15">
        <f>COUNTIF('Full Validation'!$L$6:$L$238,"Verified — gold defect")</f>
        <v>1</v>
      </c>
      <c r="E12" s="15">
        <f>COUNTIF('Full Validation'!$L$6:$L$238,"Needs correction")</f>
        <v>4</v>
      </c>
      <c r="F12" s="36"/>
      <c r="G12" s="36"/>
      <c r="H12" s="36"/>
      <c r="I12" s="36"/>
      <c r="J12" s="15" t="s">
        <v>14</v>
      </c>
      <c r="K12" s="15">
        <f>COUNTIF('Full Validation'!$E$6:$E$238,J12)</f>
        <v>97</v>
      </c>
      <c r="L12" s="36"/>
      <c r="M12" s="36"/>
      <c r="N12" s="36"/>
      <c r="O12" s="36"/>
      <c r="P12" s="36"/>
    </row>
    <row r="13" spans="1:16" ht="14.5">
      <c r="A13" s="36"/>
      <c r="B13" s="36"/>
      <c r="C13" s="36"/>
      <c r="D13" s="36"/>
      <c r="E13" s="36"/>
      <c r="F13" s="36"/>
      <c r="G13" s="36"/>
      <c r="H13" s="36"/>
      <c r="I13" s="36"/>
      <c r="J13" s="16" t="s">
        <v>15</v>
      </c>
      <c r="K13" s="16">
        <f>COUNTIF('Full Validation'!$E$6:$E$238,J13)</f>
        <v>54</v>
      </c>
      <c r="L13" s="36"/>
      <c r="M13" s="36"/>
      <c r="N13" s="36"/>
      <c r="O13" s="36"/>
      <c r="P13" s="36"/>
    </row>
    <row r="14" spans="1:16" ht="14.5">
      <c r="A14" s="36"/>
      <c r="B14" s="36"/>
      <c r="C14" s="36"/>
      <c r="D14" s="36"/>
      <c r="E14" s="36"/>
      <c r="F14" s="36"/>
      <c r="G14" s="36"/>
      <c r="H14" s="36"/>
      <c r="I14" s="36"/>
      <c r="J14" s="16" t="s">
        <v>16</v>
      </c>
      <c r="K14" s="16">
        <f>COUNTIF('Full Validation'!$E$6:$E$238,J14)</f>
        <v>35</v>
      </c>
      <c r="L14" s="36"/>
      <c r="M14" s="36"/>
      <c r="N14" s="36"/>
      <c r="O14" s="36"/>
      <c r="P14" s="36"/>
    </row>
    <row r="15" spans="1:16" ht="14.5">
      <c r="A15" s="36"/>
      <c r="B15" s="36"/>
      <c r="C15" s="36"/>
      <c r="D15" s="36"/>
      <c r="E15" s="36"/>
      <c r="F15" s="36"/>
      <c r="G15" s="36"/>
      <c r="H15" s="36"/>
      <c r="I15" s="36"/>
      <c r="J15" s="16" t="s">
        <v>17</v>
      </c>
      <c r="K15" s="16">
        <f>COUNTIF('Full Validation'!$E$6:$E$238,J15)</f>
        <v>45</v>
      </c>
      <c r="L15" s="36"/>
      <c r="M15" s="36"/>
      <c r="N15" s="36"/>
      <c r="O15" s="36"/>
      <c r="P15" s="36"/>
    </row>
    <row r="16" spans="1:16" ht="14.5">
      <c r="A16" s="36"/>
      <c r="B16" s="36"/>
      <c r="C16" s="36"/>
      <c r="D16" s="36"/>
      <c r="E16" s="36"/>
      <c r="F16" s="36"/>
      <c r="G16" s="36"/>
      <c r="H16" s="36"/>
      <c r="I16" s="36"/>
      <c r="J16" s="16" t="s">
        <v>18</v>
      </c>
      <c r="K16" s="16">
        <f>COUNTIF('Full Validation'!$E$6:$E$238,J16)</f>
        <v>2</v>
      </c>
      <c r="L16" s="36"/>
      <c r="M16" s="36"/>
      <c r="N16" s="36"/>
      <c r="O16" s="36"/>
      <c r="P16" s="36"/>
    </row>
    <row r="17" spans="1:16" ht="14.5">
      <c r="A17" s="36"/>
      <c r="B17" s="36"/>
      <c r="C17" s="36"/>
      <c r="D17" s="36"/>
      <c r="E17" s="36"/>
      <c r="F17" s="36"/>
      <c r="G17" s="36"/>
      <c r="H17" s="36"/>
      <c r="I17" s="36"/>
      <c r="J17" s="36"/>
      <c r="K17" s="36"/>
      <c r="L17" s="36"/>
      <c r="M17" s="36"/>
      <c r="N17" s="36"/>
      <c r="O17" s="36"/>
      <c r="P17" s="36"/>
    </row>
    <row r="18" spans="1:16" ht="14.5">
      <c r="A18" s="36"/>
      <c r="B18" s="36"/>
      <c r="C18" s="36"/>
      <c r="D18" s="36"/>
      <c r="E18" s="36"/>
      <c r="F18" s="36"/>
      <c r="G18" s="36"/>
      <c r="H18" s="36"/>
      <c r="I18" s="36"/>
      <c r="J18" s="36"/>
      <c r="K18" s="36"/>
      <c r="L18" s="36"/>
      <c r="M18" s="36"/>
      <c r="N18" s="36"/>
      <c r="O18" s="36"/>
      <c r="P18" s="36"/>
    </row>
    <row r="19" spans="1:16" ht="14.5">
      <c r="A19" s="36"/>
      <c r="B19" s="36"/>
      <c r="C19" s="36"/>
      <c r="D19" s="36"/>
      <c r="E19" s="36"/>
      <c r="F19" s="36"/>
      <c r="G19" s="36"/>
      <c r="H19" s="36"/>
      <c r="I19" s="36"/>
      <c r="J19" s="36"/>
      <c r="K19" s="36"/>
      <c r="L19" s="36"/>
      <c r="M19" s="36"/>
      <c r="N19" s="36"/>
      <c r="O19" s="36"/>
      <c r="P19" s="36"/>
    </row>
    <row r="20" spans="1:16" ht="14.5">
      <c r="A20" s="36"/>
      <c r="B20" s="36"/>
      <c r="C20" s="36"/>
      <c r="D20" s="36"/>
      <c r="E20" s="36"/>
      <c r="F20" s="36"/>
      <c r="G20" s="36"/>
      <c r="H20" s="36"/>
      <c r="I20" s="36"/>
      <c r="J20" s="36"/>
      <c r="K20" s="36"/>
      <c r="L20" s="36"/>
      <c r="M20" s="36"/>
      <c r="N20" s="36"/>
      <c r="O20" s="36"/>
      <c r="P20" s="36"/>
    </row>
    <row r="21" spans="1:16" ht="14.5">
      <c r="A21" s="36"/>
      <c r="B21" s="36"/>
      <c r="C21" s="36"/>
      <c r="D21" s="36"/>
      <c r="E21" s="36"/>
      <c r="F21" s="36"/>
      <c r="G21" s="36"/>
      <c r="H21" s="36"/>
      <c r="I21" s="36"/>
      <c r="J21" s="36"/>
      <c r="K21" s="36"/>
      <c r="L21" s="36"/>
      <c r="M21" s="36"/>
      <c r="N21" s="36"/>
      <c r="O21" s="36"/>
      <c r="P21" s="36"/>
    </row>
    <row r="22" spans="1:16" ht="14.5">
      <c r="A22" s="36"/>
      <c r="B22" s="36"/>
      <c r="C22" s="36"/>
      <c r="D22" s="36"/>
      <c r="E22" s="36"/>
      <c r="F22" s="36"/>
      <c r="G22" s="36"/>
      <c r="H22" s="36"/>
      <c r="I22" s="36"/>
      <c r="J22" s="36"/>
      <c r="K22" s="36"/>
      <c r="L22" s="36"/>
      <c r="M22" s="36"/>
      <c r="N22" s="36"/>
      <c r="O22" s="36"/>
      <c r="P22" s="36"/>
    </row>
    <row r="23" spans="1:16" ht="14.5">
      <c r="A23" s="36"/>
      <c r="B23" s="36"/>
      <c r="C23" s="36"/>
      <c r="D23" s="36"/>
      <c r="E23" s="36"/>
      <c r="F23" s="36"/>
      <c r="G23" s="36"/>
      <c r="H23" s="36"/>
      <c r="I23" s="36"/>
      <c r="J23" s="36"/>
      <c r="K23" s="36"/>
      <c r="L23" s="36"/>
      <c r="M23" s="36"/>
      <c r="N23" s="36"/>
      <c r="O23" s="36"/>
      <c r="P23" s="36"/>
    </row>
    <row r="24" spans="1:16" ht="14.5">
      <c r="A24" s="36"/>
      <c r="B24" s="36"/>
      <c r="C24" s="36"/>
      <c r="D24" s="36"/>
      <c r="E24" s="36"/>
      <c r="F24" s="36"/>
      <c r="G24" s="36"/>
      <c r="H24" s="36"/>
      <c r="I24" s="36"/>
      <c r="J24" s="36"/>
      <c r="K24" s="36"/>
      <c r="L24" s="36"/>
      <c r="M24" s="36"/>
      <c r="N24" s="36"/>
      <c r="O24" s="36"/>
      <c r="P24" s="36"/>
    </row>
    <row r="25" spans="1:16" ht="14.5">
      <c r="A25" s="36"/>
      <c r="B25" s="36"/>
      <c r="C25" s="36"/>
      <c r="D25" s="36"/>
      <c r="E25" s="36"/>
      <c r="F25" s="36"/>
      <c r="G25" s="36"/>
      <c r="H25" s="36"/>
      <c r="I25" s="36"/>
      <c r="J25" s="36"/>
      <c r="K25" s="36"/>
      <c r="L25" s="36"/>
      <c r="M25" s="36"/>
      <c r="N25" s="36"/>
      <c r="O25" s="36"/>
      <c r="P25" s="36"/>
    </row>
    <row r="26" spans="1:16" ht="14.5">
      <c r="A26" s="36"/>
      <c r="B26" s="36"/>
      <c r="C26" s="36"/>
      <c r="D26" s="36"/>
      <c r="E26" s="36"/>
      <c r="F26" s="36"/>
      <c r="G26" s="36"/>
      <c r="H26" s="36"/>
      <c r="I26" s="36"/>
      <c r="J26" s="36"/>
      <c r="K26" s="36"/>
      <c r="L26" s="36"/>
      <c r="M26" s="36"/>
      <c r="N26" s="36"/>
      <c r="O26" s="36"/>
      <c r="P26" s="36"/>
    </row>
    <row r="27" spans="1:16" ht="14.5">
      <c r="A27" s="36"/>
      <c r="B27" s="36"/>
      <c r="C27" s="36"/>
      <c r="D27" s="36"/>
      <c r="E27" s="36"/>
      <c r="F27" s="36"/>
      <c r="G27" s="36"/>
      <c r="H27" s="36"/>
      <c r="I27" s="36"/>
      <c r="J27" s="36"/>
      <c r="K27" s="36"/>
      <c r="L27" s="36"/>
      <c r="M27" s="36"/>
      <c r="N27" s="36"/>
      <c r="O27" s="36"/>
      <c r="P27" s="36"/>
    </row>
    <row r="28" spans="1:16" ht="14.5">
      <c r="A28" s="36"/>
      <c r="B28" s="36"/>
      <c r="C28" s="36"/>
      <c r="D28" s="36"/>
      <c r="E28" s="36"/>
      <c r="F28" s="36"/>
      <c r="G28" s="36"/>
      <c r="H28" s="36"/>
      <c r="I28" s="36"/>
      <c r="J28" s="36"/>
      <c r="K28" s="36"/>
      <c r="L28" s="36"/>
      <c r="M28" s="36"/>
      <c r="N28" s="36"/>
      <c r="O28" s="36"/>
      <c r="P28" s="36"/>
    </row>
    <row r="29" spans="1:16" ht="14.5">
      <c r="A29" s="36"/>
      <c r="B29" s="36"/>
      <c r="C29" s="36"/>
      <c r="D29" s="36"/>
      <c r="E29" s="36"/>
      <c r="F29" s="36"/>
      <c r="G29" s="36"/>
      <c r="H29" s="36"/>
      <c r="I29" s="36"/>
      <c r="J29" s="36"/>
      <c r="K29" s="36"/>
      <c r="L29" s="36"/>
      <c r="M29" s="36"/>
      <c r="N29" s="36"/>
      <c r="O29" s="36"/>
      <c r="P29" s="36"/>
    </row>
    <row r="30" spans="1:16" ht="14.5">
      <c r="A30" s="36"/>
      <c r="B30" s="36"/>
      <c r="C30" s="36"/>
      <c r="D30" s="36"/>
      <c r="E30" s="36"/>
      <c r="F30" s="36"/>
      <c r="G30" s="36"/>
      <c r="H30" s="36"/>
      <c r="I30" s="36"/>
      <c r="J30" s="36"/>
      <c r="K30" s="36"/>
      <c r="L30" s="36"/>
      <c r="M30" s="36"/>
      <c r="N30" s="36"/>
      <c r="O30" s="36"/>
      <c r="P30" s="36"/>
    </row>
    <row r="31" spans="1:16" ht="14.5">
      <c r="A31" s="36"/>
      <c r="B31" s="36"/>
      <c r="C31" s="36"/>
      <c r="D31" s="36"/>
      <c r="E31" s="36"/>
      <c r="F31" s="36"/>
      <c r="G31" s="36"/>
      <c r="H31" s="36"/>
      <c r="I31" s="36"/>
      <c r="J31" s="36"/>
      <c r="K31" s="36"/>
      <c r="L31" s="36"/>
      <c r="M31" s="36"/>
      <c r="N31" s="36"/>
      <c r="O31" s="36"/>
      <c r="P31" s="36"/>
    </row>
    <row r="32" spans="1:16" ht="14.5">
      <c r="A32" s="36"/>
      <c r="B32" s="36"/>
      <c r="C32" s="36"/>
      <c r="D32" s="36"/>
      <c r="E32" s="36"/>
      <c r="F32" s="36"/>
      <c r="G32" s="36"/>
      <c r="H32" s="36"/>
      <c r="I32" s="36"/>
      <c r="J32" s="36"/>
      <c r="K32" s="36"/>
      <c r="L32" s="36"/>
      <c r="M32" s="36"/>
      <c r="N32" s="36"/>
      <c r="O32" s="36"/>
      <c r="P32" s="36"/>
    </row>
    <row r="33" spans="1:16" ht="14.5">
      <c r="A33" s="36"/>
      <c r="B33" s="36"/>
      <c r="C33" s="36"/>
      <c r="D33" s="36"/>
      <c r="E33" s="36"/>
      <c r="F33" s="36"/>
      <c r="G33" s="36"/>
      <c r="H33" s="36"/>
      <c r="I33" s="36"/>
      <c r="J33" s="36"/>
      <c r="K33" s="36"/>
      <c r="L33" s="36"/>
      <c r="M33" s="36"/>
      <c r="N33" s="36"/>
      <c r="O33" s="36"/>
      <c r="P33" s="36"/>
    </row>
    <row r="34" spans="1:16" ht="14.5">
      <c r="A34" s="36"/>
      <c r="B34" s="36"/>
      <c r="C34" s="36"/>
      <c r="D34" s="36"/>
      <c r="E34" s="36"/>
      <c r="F34" s="36"/>
      <c r="G34" s="36"/>
      <c r="H34" s="36"/>
      <c r="I34" s="36"/>
      <c r="J34" s="36"/>
      <c r="K34" s="36"/>
      <c r="L34" s="36"/>
      <c r="M34" s="36"/>
      <c r="N34" s="36"/>
      <c r="O34" s="36"/>
      <c r="P34" s="36"/>
    </row>
    <row r="35" spans="1:16" ht="14.5">
      <c r="A35" s="36"/>
      <c r="B35" s="36"/>
      <c r="C35" s="36"/>
      <c r="D35" s="36"/>
      <c r="E35" s="36"/>
      <c r="F35" s="36"/>
      <c r="G35" s="36"/>
      <c r="H35" s="36"/>
      <c r="I35" s="36"/>
      <c r="J35" s="36"/>
      <c r="K35" s="36"/>
      <c r="L35" s="36"/>
      <c r="M35" s="36"/>
      <c r="N35" s="36"/>
      <c r="O35" s="36"/>
      <c r="P35" s="36"/>
    </row>
    <row r="36" spans="1:16" ht="34" customHeight="1">
      <c r="A36" s="1" t="s">
        <v>19</v>
      </c>
      <c r="B36" s="1" t="s">
        <v>20</v>
      </c>
      <c r="C36" s="1" t="s">
        <v>9</v>
      </c>
      <c r="D36" s="1" t="s">
        <v>21</v>
      </c>
      <c r="E36" s="36"/>
      <c r="F36" s="36"/>
      <c r="G36" s="36"/>
      <c r="H36" s="36"/>
      <c r="I36" s="36"/>
      <c r="J36" s="1" t="s">
        <v>22</v>
      </c>
      <c r="K36" s="1" t="s">
        <v>13</v>
      </c>
      <c r="L36" s="36"/>
      <c r="M36" s="36"/>
      <c r="N36" s="36"/>
      <c r="O36" s="36"/>
      <c r="P36" s="36"/>
    </row>
    <row r="37" spans="1:16" ht="14.5">
      <c r="A37" s="15" t="s">
        <v>23</v>
      </c>
      <c r="B37" s="15">
        <f>COUNTIFS('Full Validation'!$C$6:$C$238,A37,'Full Validation'!$L$6:$L$238,"Verified with caveat")</f>
        <v>0</v>
      </c>
      <c r="C37" s="15">
        <f>COUNTIFS('Full Validation'!$C$6:$C$238,A37,'Full Validation'!$L$6:$L$238,"Verified — gold defect")</f>
        <v>1</v>
      </c>
      <c r="D37" s="15">
        <f>COUNTIFS('Full Validation'!$C$6:$C$238,A37,'Full Validation'!$L$6:$L$238,"Needs correction")</f>
        <v>0</v>
      </c>
      <c r="E37" s="36"/>
      <c r="F37" s="36"/>
      <c r="G37" s="36"/>
      <c r="H37" s="36"/>
      <c r="I37" s="36"/>
      <c r="J37" s="15" t="s">
        <v>24</v>
      </c>
      <c r="K37" s="15">
        <f>COUNTIF('Data Quality Warnings'!$B$21:$B$38,J37)</f>
        <v>8</v>
      </c>
      <c r="L37" s="36"/>
      <c r="M37" s="36"/>
      <c r="N37" s="36"/>
      <c r="O37" s="36"/>
      <c r="P37" s="36"/>
    </row>
    <row r="38" spans="1:16" ht="14.5">
      <c r="A38" s="16" t="s">
        <v>25</v>
      </c>
      <c r="B38" s="16">
        <f>COUNTIFS('Full Validation'!$C$6:$C$238,A38,'Full Validation'!$L$6:$L$238,"Verified with caveat")</f>
        <v>6</v>
      </c>
      <c r="C38" s="16">
        <f>COUNTIFS('Full Validation'!$C$6:$C$238,A38,'Full Validation'!$L$6:$L$238,"Verified — gold defect")</f>
        <v>0</v>
      </c>
      <c r="D38" s="16">
        <f>COUNTIFS('Full Validation'!$C$6:$C$238,A38,'Full Validation'!$L$6:$L$238,"Needs correction")</f>
        <v>1</v>
      </c>
      <c r="E38" s="36"/>
      <c r="F38" s="36"/>
      <c r="G38" s="36"/>
      <c r="H38" s="36"/>
      <c r="I38" s="36"/>
      <c r="J38" s="16" t="s">
        <v>26</v>
      </c>
      <c r="K38" s="16">
        <f>COUNTIF('Data Quality Warnings'!$B$21:$B$38,J38)</f>
        <v>7</v>
      </c>
      <c r="L38" s="36"/>
      <c r="M38" s="36"/>
      <c r="N38" s="36"/>
      <c r="O38" s="36"/>
      <c r="P38" s="36"/>
    </row>
    <row r="39" spans="1:16" ht="14.5">
      <c r="A39" s="16" t="s">
        <v>27</v>
      </c>
      <c r="B39" s="16">
        <f>COUNTIFS('Full Validation'!$C$6:$C$238,A39,'Full Validation'!$L$6:$L$238,"Verified with caveat")</f>
        <v>0</v>
      </c>
      <c r="C39" s="16">
        <f>COUNTIFS('Full Validation'!$C$6:$C$238,A39,'Full Validation'!$L$6:$L$238,"Verified — gold defect")</f>
        <v>0</v>
      </c>
      <c r="D39" s="16">
        <f>COUNTIFS('Full Validation'!$C$6:$C$238,A39,'Full Validation'!$L$6:$L$238,"Needs correction")</f>
        <v>3</v>
      </c>
      <c r="E39" s="36"/>
      <c r="F39" s="36"/>
      <c r="G39" s="36"/>
      <c r="H39" s="36"/>
      <c r="I39" s="36"/>
      <c r="J39" s="16" t="s">
        <v>28</v>
      </c>
      <c r="K39" s="16">
        <f>COUNTIF('Data Quality Warnings'!$B$21:$B$38,J39)</f>
        <v>2</v>
      </c>
      <c r="L39" s="36"/>
      <c r="M39" s="36"/>
      <c r="N39" s="36"/>
      <c r="O39" s="36"/>
      <c r="P39" s="36"/>
    </row>
    <row r="40" spans="1:16" ht="14.5">
      <c r="A40" s="36"/>
      <c r="B40" s="36"/>
      <c r="C40" s="36"/>
      <c r="D40" s="36"/>
      <c r="E40" s="36"/>
      <c r="F40" s="36"/>
      <c r="G40" s="36"/>
      <c r="H40" s="36"/>
      <c r="I40" s="36"/>
      <c r="J40" s="16" t="s">
        <v>29</v>
      </c>
      <c r="K40" s="16">
        <f>COUNTIF('Data Quality Warnings'!$B$21:$B$38,J40)</f>
        <v>1</v>
      </c>
      <c r="L40" s="36"/>
      <c r="M40" s="36"/>
      <c r="N40" s="36"/>
      <c r="O40" s="36"/>
      <c r="P40" s="36"/>
    </row>
    <row r="41" spans="1:16" ht="14.5">
      <c r="A41" s="36"/>
      <c r="B41" s="36"/>
      <c r="C41" s="36"/>
      <c r="D41" s="36"/>
      <c r="E41" s="36"/>
      <c r="F41" s="36"/>
      <c r="G41" s="36"/>
      <c r="H41" s="36"/>
      <c r="I41" s="36"/>
      <c r="J41" s="36"/>
      <c r="K41" s="36"/>
      <c r="L41" s="36"/>
      <c r="M41" s="36"/>
      <c r="N41" s="36"/>
      <c r="O41" s="36"/>
      <c r="P41" s="36"/>
    </row>
    <row r="42" spans="1:16" ht="14.5">
      <c r="A42" s="36"/>
      <c r="B42" s="36"/>
      <c r="C42" s="36"/>
      <c r="D42" s="36"/>
      <c r="E42" s="36"/>
      <c r="F42" s="36"/>
      <c r="G42" s="36"/>
      <c r="H42" s="36"/>
      <c r="I42" s="36"/>
      <c r="J42" s="36"/>
      <c r="K42" s="36"/>
      <c r="L42" s="36"/>
      <c r="M42" s="36"/>
      <c r="N42" s="36"/>
      <c r="O42" s="36"/>
      <c r="P42" s="36"/>
    </row>
    <row r="43" spans="1:16" ht="14.5">
      <c r="A43" s="36"/>
      <c r="B43" s="36"/>
      <c r="C43" s="36"/>
      <c r="D43" s="36"/>
      <c r="E43" s="36"/>
      <c r="F43" s="36"/>
      <c r="G43" s="36"/>
      <c r="H43" s="36"/>
      <c r="I43" s="36"/>
      <c r="J43" s="36"/>
      <c r="K43" s="36"/>
      <c r="L43" s="36"/>
      <c r="M43" s="36"/>
      <c r="N43" s="36"/>
      <c r="O43" s="36"/>
      <c r="P43" s="36"/>
    </row>
    <row r="44" spans="1:16" ht="14.5">
      <c r="A44" s="36"/>
      <c r="B44" s="36"/>
      <c r="C44" s="36"/>
      <c r="D44" s="36"/>
      <c r="E44" s="36"/>
      <c r="F44" s="36"/>
      <c r="G44" s="36"/>
      <c r="H44" s="36"/>
      <c r="I44" s="36"/>
      <c r="J44" s="36"/>
      <c r="K44" s="36"/>
      <c r="L44" s="36"/>
      <c r="M44" s="36"/>
      <c r="N44" s="36"/>
      <c r="O44" s="36"/>
      <c r="P44" s="36"/>
    </row>
    <row r="45" spans="1:16" ht="14.5">
      <c r="A45" s="36"/>
      <c r="B45" s="36"/>
      <c r="C45" s="36"/>
      <c r="D45" s="36"/>
      <c r="E45" s="36"/>
      <c r="F45" s="36"/>
      <c r="G45" s="36"/>
      <c r="H45" s="36"/>
      <c r="I45" s="36"/>
      <c r="J45" s="36"/>
      <c r="K45" s="36"/>
      <c r="L45" s="36"/>
      <c r="M45" s="36"/>
      <c r="N45" s="36"/>
      <c r="O45" s="36"/>
      <c r="P45" s="36"/>
    </row>
    <row r="46" spans="1:16" ht="14.5">
      <c r="A46" s="36"/>
      <c r="B46" s="36"/>
      <c r="C46" s="36"/>
      <c r="D46" s="36"/>
      <c r="E46" s="36"/>
      <c r="F46" s="36"/>
      <c r="G46" s="36"/>
      <c r="H46" s="36"/>
      <c r="I46" s="36"/>
      <c r="J46" s="36"/>
      <c r="K46" s="36"/>
      <c r="L46" s="36"/>
      <c r="M46" s="36"/>
      <c r="N46" s="36"/>
      <c r="O46" s="36"/>
      <c r="P46" s="36"/>
    </row>
    <row r="47" spans="1:16" ht="14.5">
      <c r="A47" s="36"/>
      <c r="B47" s="36"/>
      <c r="C47" s="36"/>
      <c r="D47" s="36"/>
      <c r="E47" s="36"/>
      <c r="F47" s="36"/>
      <c r="G47" s="36"/>
      <c r="H47" s="36"/>
      <c r="I47" s="36"/>
      <c r="J47" s="36"/>
      <c r="K47" s="36"/>
      <c r="L47" s="36"/>
      <c r="M47" s="36"/>
      <c r="N47" s="36"/>
      <c r="O47" s="36"/>
      <c r="P47" s="36"/>
    </row>
    <row r="48" spans="1:16" ht="14.5">
      <c r="A48" s="36"/>
      <c r="B48" s="36"/>
      <c r="C48" s="36"/>
      <c r="D48" s="36"/>
      <c r="E48" s="36"/>
      <c r="F48" s="36"/>
      <c r="G48" s="36"/>
      <c r="H48" s="36"/>
      <c r="I48" s="36"/>
      <c r="J48" s="36"/>
      <c r="K48" s="36"/>
      <c r="L48" s="36"/>
      <c r="M48" s="36"/>
      <c r="N48" s="36"/>
      <c r="O48" s="36"/>
      <c r="P48" s="36"/>
    </row>
    <row r="49" spans="1:16" ht="14.5">
      <c r="A49" s="36"/>
      <c r="B49" s="36"/>
      <c r="C49" s="36"/>
      <c r="D49" s="36"/>
      <c r="E49" s="36"/>
      <c r="F49" s="36"/>
      <c r="G49" s="36"/>
      <c r="H49" s="36"/>
      <c r="I49" s="36"/>
      <c r="J49" s="36"/>
      <c r="K49" s="36"/>
      <c r="L49" s="36"/>
      <c r="M49" s="36"/>
      <c r="N49" s="36"/>
      <c r="O49" s="36"/>
      <c r="P49" s="36"/>
    </row>
    <row r="50" spans="1:16" ht="14.5">
      <c r="A50" s="36"/>
      <c r="B50" s="36"/>
      <c r="C50" s="36"/>
      <c r="D50" s="36"/>
      <c r="E50" s="36"/>
      <c r="F50" s="36"/>
      <c r="G50" s="36"/>
      <c r="H50" s="36"/>
      <c r="I50" s="36"/>
      <c r="J50" s="36"/>
      <c r="K50" s="36"/>
      <c r="L50" s="36"/>
      <c r="M50" s="36"/>
      <c r="N50" s="36"/>
      <c r="O50" s="36"/>
      <c r="P50" s="36"/>
    </row>
    <row r="51" spans="1:16" ht="14.5">
      <c r="A51" s="36"/>
      <c r="B51" s="36"/>
      <c r="C51" s="36"/>
      <c r="D51" s="36"/>
      <c r="E51" s="36"/>
      <c r="F51" s="36"/>
      <c r="G51" s="36"/>
      <c r="H51" s="36"/>
      <c r="I51" s="36"/>
      <c r="J51" s="36"/>
      <c r="K51" s="36"/>
      <c r="L51" s="36"/>
      <c r="M51" s="36"/>
      <c r="N51" s="36"/>
      <c r="O51" s="36"/>
      <c r="P51" s="36"/>
    </row>
    <row r="52" spans="1:16" ht="14.5">
      <c r="A52" s="36"/>
      <c r="B52" s="36"/>
      <c r="C52" s="36"/>
      <c r="D52" s="36"/>
      <c r="E52" s="36"/>
      <c r="F52" s="36"/>
      <c r="G52" s="36"/>
      <c r="H52" s="36"/>
      <c r="I52" s="36"/>
      <c r="J52" s="36"/>
      <c r="K52" s="36"/>
      <c r="L52" s="36"/>
      <c r="M52" s="36"/>
      <c r="N52" s="36"/>
      <c r="O52" s="36"/>
      <c r="P52" s="36"/>
    </row>
    <row r="53" spans="1:16" ht="14.5">
      <c r="A53" s="36"/>
      <c r="B53" s="36"/>
      <c r="C53" s="36"/>
      <c r="D53" s="36"/>
      <c r="E53" s="36"/>
      <c r="F53" s="36"/>
      <c r="G53" s="36"/>
      <c r="H53" s="36"/>
      <c r="I53" s="36"/>
      <c r="J53" s="36"/>
      <c r="K53" s="36"/>
      <c r="L53" s="36"/>
      <c r="M53" s="36"/>
      <c r="N53" s="36"/>
      <c r="O53" s="36"/>
      <c r="P53" s="36"/>
    </row>
    <row r="54" spans="1:16" ht="14.5">
      <c r="A54" s="36"/>
      <c r="B54" s="36"/>
      <c r="C54" s="36"/>
      <c r="D54" s="36"/>
      <c r="E54" s="36"/>
      <c r="F54" s="36"/>
      <c r="G54" s="36"/>
      <c r="H54" s="36"/>
      <c r="I54" s="36"/>
      <c r="J54" s="36"/>
      <c r="K54" s="36"/>
      <c r="L54" s="36"/>
      <c r="M54" s="36"/>
      <c r="N54" s="36"/>
      <c r="O54" s="36"/>
      <c r="P54" s="36"/>
    </row>
    <row r="55" spans="1:16" ht="14.5">
      <c r="A55" s="36"/>
      <c r="B55" s="36"/>
      <c r="C55" s="36"/>
      <c r="D55" s="36"/>
      <c r="E55" s="36"/>
      <c r="F55" s="36"/>
      <c r="G55" s="36"/>
      <c r="H55" s="36"/>
      <c r="I55" s="36"/>
      <c r="J55" s="36"/>
      <c r="K55" s="36"/>
      <c r="L55" s="36"/>
      <c r="M55" s="36"/>
      <c r="N55" s="36"/>
      <c r="O55" s="36"/>
      <c r="P55" s="36"/>
    </row>
    <row r="56" spans="1:16" ht="14.5">
      <c r="A56" s="36"/>
      <c r="B56" s="36"/>
      <c r="C56" s="36"/>
      <c r="D56" s="36"/>
      <c r="E56" s="36"/>
      <c r="F56" s="36"/>
      <c r="G56" s="36"/>
      <c r="H56" s="36"/>
      <c r="I56" s="36"/>
      <c r="J56" s="36"/>
      <c r="K56" s="36"/>
      <c r="L56" s="36"/>
      <c r="M56" s="36"/>
      <c r="N56" s="36"/>
      <c r="O56" s="36"/>
      <c r="P56" s="36"/>
    </row>
    <row r="57" spans="1:16" ht="14.5">
      <c r="A57" s="36"/>
      <c r="B57" s="36"/>
      <c r="C57" s="36"/>
      <c r="D57" s="36"/>
      <c r="E57" s="36"/>
      <c r="F57" s="36"/>
      <c r="G57" s="36"/>
      <c r="H57" s="36"/>
      <c r="I57" s="36"/>
      <c r="J57" s="36"/>
      <c r="K57" s="36"/>
      <c r="L57" s="36"/>
      <c r="M57" s="36"/>
      <c r="N57" s="36"/>
      <c r="O57" s="36"/>
      <c r="P57" s="36"/>
    </row>
    <row r="58" spans="1:16" ht="14.5">
      <c r="A58" s="36"/>
      <c r="B58" s="36"/>
      <c r="C58" s="36"/>
      <c r="D58" s="36"/>
      <c r="E58" s="36"/>
      <c r="F58" s="36"/>
      <c r="G58" s="36"/>
      <c r="H58" s="36"/>
      <c r="I58" s="36"/>
      <c r="J58" s="36"/>
      <c r="K58" s="36"/>
      <c r="L58" s="36"/>
      <c r="M58" s="36"/>
      <c r="N58" s="36"/>
      <c r="O58" s="36"/>
      <c r="P58" s="36"/>
    </row>
    <row r="59" spans="1:16" ht="14.5">
      <c r="A59" s="36"/>
      <c r="B59" s="36"/>
      <c r="C59" s="36"/>
      <c r="D59" s="36"/>
      <c r="E59" s="36"/>
      <c r="F59" s="36"/>
      <c r="G59" s="36"/>
      <c r="H59" s="36"/>
      <c r="I59" s="36"/>
      <c r="J59" s="36"/>
      <c r="K59" s="36"/>
      <c r="L59" s="36"/>
      <c r="M59" s="36"/>
      <c r="N59" s="36"/>
      <c r="O59" s="36"/>
      <c r="P59" s="36"/>
    </row>
    <row r="60" spans="1:16" ht="14.5">
      <c r="A60" s="36"/>
      <c r="B60" s="36"/>
      <c r="C60" s="36"/>
      <c r="D60" s="36"/>
      <c r="E60" s="36"/>
      <c r="F60" s="36"/>
      <c r="G60" s="36"/>
      <c r="H60" s="36"/>
      <c r="I60" s="36"/>
      <c r="J60" s="36"/>
      <c r="K60" s="36"/>
      <c r="L60" s="36"/>
      <c r="M60" s="36"/>
      <c r="N60" s="36"/>
      <c r="O60" s="36"/>
      <c r="P60" s="36"/>
    </row>
    <row r="61" spans="1:16" ht="14.5">
      <c r="A61" s="80" t="s">
        <v>30</v>
      </c>
      <c r="B61" s="80"/>
      <c r="C61" s="80"/>
      <c r="D61" s="80"/>
      <c r="E61" s="80"/>
      <c r="F61" s="80"/>
      <c r="G61" s="80"/>
      <c r="H61" s="80"/>
      <c r="I61" s="80"/>
      <c r="J61" s="80"/>
      <c r="K61" s="80"/>
      <c r="L61" s="80"/>
      <c r="M61" s="80"/>
      <c r="N61" s="80"/>
      <c r="O61" s="80"/>
      <c r="P61" s="80"/>
    </row>
    <row r="62" spans="1:16">
      <c r="A62" s="81" t="s">
        <v>31</v>
      </c>
      <c r="B62" s="81"/>
      <c r="C62" s="81"/>
      <c r="D62" s="81"/>
      <c r="E62" s="81"/>
      <c r="F62" s="81"/>
      <c r="G62" s="81"/>
      <c r="H62" s="81"/>
      <c r="I62" s="81"/>
      <c r="J62" s="81"/>
      <c r="K62" s="81"/>
      <c r="L62" s="81"/>
      <c r="M62" s="81"/>
      <c r="N62" s="81"/>
      <c r="O62" s="81"/>
      <c r="P62" s="81"/>
    </row>
    <row r="63" spans="1:16">
      <c r="A63" s="81"/>
      <c r="B63" s="81"/>
      <c r="C63" s="81"/>
      <c r="D63" s="81"/>
      <c r="E63" s="81"/>
      <c r="F63" s="81"/>
      <c r="G63" s="81"/>
      <c r="H63" s="81"/>
      <c r="I63" s="81"/>
      <c r="J63" s="81"/>
      <c r="K63" s="81"/>
      <c r="L63" s="81"/>
      <c r="M63" s="81"/>
      <c r="N63" s="81"/>
      <c r="O63" s="81"/>
      <c r="P63" s="81"/>
    </row>
    <row r="64" spans="1:16">
      <c r="A64" s="81"/>
      <c r="B64" s="81"/>
      <c r="C64" s="81"/>
      <c r="D64" s="81"/>
      <c r="E64" s="81"/>
      <c r="F64" s="81"/>
      <c r="G64" s="81"/>
      <c r="H64" s="81"/>
      <c r="I64" s="81"/>
      <c r="J64" s="81"/>
      <c r="K64" s="81"/>
      <c r="L64" s="81"/>
      <c r="M64" s="81"/>
      <c r="N64" s="81"/>
      <c r="O64" s="81"/>
      <c r="P64" s="81"/>
    </row>
    <row r="65" spans="1:16">
      <c r="A65" s="81"/>
      <c r="B65" s="81"/>
      <c r="C65" s="81"/>
      <c r="D65" s="81"/>
      <c r="E65" s="81"/>
      <c r="F65" s="81"/>
      <c r="G65" s="81"/>
      <c r="H65" s="81"/>
      <c r="I65" s="81"/>
      <c r="J65" s="81"/>
      <c r="K65" s="81"/>
      <c r="L65" s="81"/>
      <c r="M65" s="81"/>
      <c r="N65" s="81"/>
      <c r="O65" s="81"/>
      <c r="P65" s="81"/>
    </row>
    <row r="66" spans="1:16">
      <c r="A66" s="81"/>
      <c r="B66" s="81"/>
      <c r="C66" s="81"/>
      <c r="D66" s="81"/>
      <c r="E66" s="81"/>
      <c r="F66" s="81"/>
      <c r="G66" s="81"/>
      <c r="H66" s="81"/>
      <c r="I66" s="81"/>
      <c r="J66" s="81"/>
      <c r="K66" s="81"/>
      <c r="L66" s="81"/>
      <c r="M66" s="81"/>
      <c r="N66" s="81"/>
      <c r="O66" s="81"/>
      <c r="P66" s="81"/>
    </row>
    <row r="67" spans="1:16" ht="14.5">
      <c r="A67" s="36"/>
      <c r="B67" s="36"/>
      <c r="C67" s="36"/>
      <c r="D67" s="36"/>
      <c r="E67" s="36"/>
      <c r="F67" s="36"/>
      <c r="G67" s="36"/>
      <c r="H67" s="36"/>
      <c r="I67" s="36"/>
      <c r="J67" s="36"/>
      <c r="K67" s="36"/>
      <c r="L67" s="36"/>
      <c r="M67" s="36"/>
      <c r="N67" s="36"/>
      <c r="O67" s="36"/>
      <c r="P67" s="36"/>
    </row>
    <row r="68" spans="1:16">
      <c r="A68" s="82" t="s">
        <v>32</v>
      </c>
      <c r="B68" s="82"/>
      <c r="C68" s="82"/>
      <c r="D68" s="82"/>
      <c r="E68" s="82"/>
      <c r="F68" s="82"/>
      <c r="G68" s="82"/>
      <c r="H68" s="82"/>
      <c r="I68" s="82"/>
      <c r="J68" s="82"/>
      <c r="K68" s="82"/>
      <c r="L68" s="82"/>
      <c r="M68" s="82"/>
      <c r="N68" s="82"/>
      <c r="O68" s="82"/>
      <c r="P68" s="82"/>
    </row>
    <row r="69" spans="1:16">
      <c r="A69" s="82"/>
      <c r="B69" s="82"/>
      <c r="C69" s="82"/>
      <c r="D69" s="82"/>
      <c r="E69" s="82"/>
      <c r="F69" s="82"/>
      <c r="G69" s="82"/>
      <c r="H69" s="82"/>
      <c r="I69" s="82"/>
      <c r="J69" s="82"/>
      <c r="K69" s="82"/>
      <c r="L69" s="82"/>
      <c r="M69" s="82"/>
      <c r="N69" s="82"/>
      <c r="O69" s="82"/>
      <c r="P69" s="82"/>
    </row>
    <row r="70" spans="1:16">
      <c r="A70" s="82"/>
      <c r="B70" s="82"/>
      <c r="C70" s="82"/>
      <c r="D70" s="82"/>
      <c r="E70" s="82"/>
      <c r="F70" s="82"/>
      <c r="G70" s="82"/>
      <c r="H70" s="82"/>
      <c r="I70" s="82"/>
      <c r="J70" s="82"/>
      <c r="K70" s="82"/>
      <c r="L70" s="82"/>
      <c r="M70" s="82"/>
      <c r="N70" s="82"/>
      <c r="O70" s="82"/>
      <c r="P70" s="82"/>
    </row>
  </sheetData>
  <mergeCells count="13">
    <mergeCell ref="A61:P61"/>
    <mergeCell ref="A62:P66"/>
    <mergeCell ref="A68:P70"/>
    <mergeCell ref="A1:P2"/>
    <mergeCell ref="A3:P3"/>
    <mergeCell ref="A5:C5"/>
    <mergeCell ref="A6:C8"/>
    <mergeCell ref="E5:G5"/>
    <mergeCell ref="E6:G8"/>
    <mergeCell ref="I5:K5"/>
    <mergeCell ref="I6:K8"/>
    <mergeCell ref="M5:O5"/>
    <mergeCell ref="M6:O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workbookViewId="0"/>
  </sheetViews>
  <sheetFormatPr defaultRowHeight="14"/>
  <cols>
    <col min="1" max="1" width="12" customWidth="1"/>
    <col min="2" max="2" width="9" customWidth="1"/>
    <col min="3" max="3" width="12" customWidth="1"/>
    <col min="4" max="4" width="49" customWidth="1"/>
    <col min="5" max="5" width="11" customWidth="1"/>
    <col min="6" max="6" width="12" customWidth="1"/>
    <col min="7" max="7" width="46" customWidth="1"/>
    <col min="8" max="9" width="20" customWidth="1"/>
    <col min="10" max="10" width="68" customWidth="1"/>
    <col min="11" max="11" width="60" customWidth="1"/>
    <col min="12" max="12" width="24" customWidth="1"/>
  </cols>
  <sheetData>
    <row r="1" spans="1:12" ht="27" customHeight="1">
      <c r="A1" s="37" t="s">
        <v>33</v>
      </c>
      <c r="B1" s="38"/>
      <c r="C1" s="38"/>
      <c r="D1" s="38"/>
      <c r="E1" s="38"/>
      <c r="F1" s="38"/>
      <c r="G1" s="38"/>
      <c r="H1" s="38"/>
      <c r="I1" s="38"/>
      <c r="J1" s="38"/>
      <c r="K1" s="38"/>
      <c r="L1" s="38"/>
    </row>
    <row r="2" spans="1:12" ht="27" customHeight="1">
      <c r="A2" s="38"/>
      <c r="B2" s="38"/>
      <c r="C2" s="38"/>
      <c r="D2" s="38"/>
      <c r="E2" s="38"/>
      <c r="F2" s="38"/>
      <c r="G2" s="38"/>
      <c r="H2" s="38"/>
      <c r="I2" s="38"/>
      <c r="J2" s="38"/>
      <c r="K2" s="38"/>
      <c r="L2" s="38"/>
    </row>
    <row r="3" spans="1:12" ht="30" customHeight="1">
      <c r="A3" s="39" t="s">
        <v>34</v>
      </c>
      <c r="B3" s="39"/>
      <c r="C3" s="39"/>
      <c r="D3" s="39"/>
      <c r="E3" s="39"/>
      <c r="F3" s="39"/>
      <c r="G3" s="39"/>
      <c r="H3" s="39"/>
      <c r="I3" s="39"/>
      <c r="J3" s="39"/>
      <c r="K3" s="39"/>
      <c r="L3" s="39"/>
    </row>
    <row r="4" spans="1:12" ht="14.5">
      <c r="A4" s="36"/>
      <c r="B4" s="36"/>
      <c r="C4" s="36"/>
      <c r="D4" s="36"/>
      <c r="E4" s="36"/>
      <c r="F4" s="36"/>
      <c r="G4" s="36"/>
      <c r="H4" s="36"/>
      <c r="I4" s="36"/>
      <c r="J4" s="36"/>
      <c r="K4" s="36"/>
      <c r="L4" s="36"/>
    </row>
    <row r="5" spans="1:12" ht="34" customHeight="1">
      <c r="A5" s="1" t="s">
        <v>35</v>
      </c>
      <c r="B5" s="1" t="s">
        <v>19</v>
      </c>
      <c r="C5" s="1" t="s">
        <v>36</v>
      </c>
      <c r="D5" s="1" t="s">
        <v>37</v>
      </c>
      <c r="E5" s="1" t="s">
        <v>38</v>
      </c>
      <c r="F5" s="1" t="s">
        <v>39</v>
      </c>
      <c r="G5" s="1" t="s">
        <v>40</v>
      </c>
      <c r="H5" s="1" t="s">
        <v>41</v>
      </c>
      <c r="I5" s="1" t="s">
        <v>42</v>
      </c>
      <c r="J5" s="1" t="s">
        <v>43</v>
      </c>
      <c r="K5" s="1" t="s">
        <v>44</v>
      </c>
      <c r="L5" s="1" t="s">
        <v>45</v>
      </c>
    </row>
    <row r="6" spans="1:12" ht="105" customHeight="1">
      <c r="A6" s="2" t="s">
        <v>46</v>
      </c>
      <c r="B6" s="2" t="s">
        <v>25</v>
      </c>
      <c r="C6" s="2" t="s">
        <v>14</v>
      </c>
      <c r="D6" s="2" t="s">
        <v>47</v>
      </c>
      <c r="E6" s="2" t="s">
        <v>48</v>
      </c>
      <c r="F6" s="26">
        <v>0.3382</v>
      </c>
      <c r="G6" s="21" t="s">
        <v>49</v>
      </c>
      <c r="H6" s="2" t="s">
        <v>50</v>
      </c>
      <c r="I6" s="2" t="s">
        <v>50</v>
      </c>
      <c r="J6" s="2" t="s">
        <v>51</v>
      </c>
      <c r="K6" s="2" t="s">
        <v>52</v>
      </c>
      <c r="L6" s="24" t="s">
        <v>53</v>
      </c>
    </row>
    <row r="7" spans="1:12" ht="105" customHeight="1">
      <c r="A7" s="3" t="s">
        <v>54</v>
      </c>
      <c r="B7" s="3" t="s">
        <v>27</v>
      </c>
      <c r="C7" s="3" t="s">
        <v>15</v>
      </c>
      <c r="D7" s="3" t="s">
        <v>55</v>
      </c>
      <c r="E7" s="3" t="s">
        <v>48</v>
      </c>
      <c r="F7" s="27">
        <v>16.075399999999998</v>
      </c>
      <c r="G7" s="23" t="s">
        <v>56</v>
      </c>
      <c r="H7" s="3" t="s">
        <v>57</v>
      </c>
      <c r="I7" s="3" t="s">
        <v>57</v>
      </c>
      <c r="J7" s="3" t="s">
        <v>58</v>
      </c>
      <c r="K7" s="3" t="s">
        <v>59</v>
      </c>
      <c r="L7" s="25" t="s">
        <v>53</v>
      </c>
    </row>
    <row r="8" spans="1:12" ht="105" customHeight="1">
      <c r="A8" s="3" t="s">
        <v>60</v>
      </c>
      <c r="B8" s="3" t="s">
        <v>27</v>
      </c>
      <c r="C8" s="3" t="s">
        <v>15</v>
      </c>
      <c r="D8" s="3" t="s">
        <v>61</v>
      </c>
      <c r="E8" s="3" t="s">
        <v>48</v>
      </c>
      <c r="F8" s="27">
        <v>10.019399999999999</v>
      </c>
      <c r="G8" s="23" t="s">
        <v>62</v>
      </c>
      <c r="H8" s="3" t="s">
        <v>63</v>
      </c>
      <c r="I8" s="3" t="s">
        <v>63</v>
      </c>
      <c r="J8" s="3" t="s">
        <v>64</v>
      </c>
      <c r="K8" s="3" t="s">
        <v>65</v>
      </c>
      <c r="L8" s="25" t="s">
        <v>53</v>
      </c>
    </row>
    <row r="9" spans="1:12" ht="105" customHeight="1">
      <c r="A9" s="3" t="s">
        <v>66</v>
      </c>
      <c r="B9" s="3" t="s">
        <v>27</v>
      </c>
      <c r="C9" s="3" t="s">
        <v>17</v>
      </c>
      <c r="D9" s="3" t="s">
        <v>67</v>
      </c>
      <c r="E9" s="3" t="s">
        <v>48</v>
      </c>
      <c r="F9" s="27">
        <v>0.30840000000000001</v>
      </c>
      <c r="G9" s="23" t="s">
        <v>68</v>
      </c>
      <c r="H9" s="3" t="s">
        <v>69</v>
      </c>
      <c r="I9" s="3" t="s">
        <v>70</v>
      </c>
      <c r="J9" s="3" t="s">
        <v>71</v>
      </c>
      <c r="K9" s="3" t="s">
        <v>72</v>
      </c>
      <c r="L9" s="25" t="s">
        <v>73</v>
      </c>
    </row>
    <row r="10" spans="1:12" ht="14.5">
      <c r="A10" s="36"/>
      <c r="B10" s="36"/>
      <c r="C10" s="36"/>
      <c r="D10" s="36"/>
      <c r="E10" s="36"/>
      <c r="F10" s="36"/>
      <c r="G10" s="36"/>
      <c r="H10" s="36"/>
      <c r="I10" s="36"/>
      <c r="J10" s="36"/>
      <c r="K10" s="36"/>
      <c r="L10" s="36"/>
    </row>
    <row r="11" spans="1:12">
      <c r="A11" s="83" t="s">
        <v>74</v>
      </c>
      <c r="B11" s="84"/>
      <c r="C11" s="84"/>
      <c r="D11" s="84"/>
      <c r="E11" s="84"/>
      <c r="F11" s="84"/>
      <c r="G11" s="84"/>
      <c r="H11" s="84"/>
      <c r="I11" s="84"/>
      <c r="J11" s="84"/>
      <c r="K11" s="84"/>
      <c r="L11" s="85"/>
    </row>
    <row r="12" spans="1:12">
      <c r="A12" s="86"/>
      <c r="B12" s="87"/>
      <c r="C12" s="87"/>
      <c r="D12" s="87"/>
      <c r="E12" s="87"/>
      <c r="F12" s="87"/>
      <c r="G12" s="87"/>
      <c r="H12" s="87"/>
      <c r="I12" s="87"/>
      <c r="J12" s="87"/>
      <c r="K12" s="87"/>
      <c r="L12" s="88"/>
    </row>
    <row r="13" spans="1:12">
      <c r="A13" s="89"/>
      <c r="B13" s="90"/>
      <c r="C13" s="90"/>
      <c r="D13" s="90"/>
      <c r="E13" s="90"/>
      <c r="F13" s="90"/>
      <c r="G13" s="90"/>
      <c r="H13" s="90"/>
      <c r="I13" s="90"/>
      <c r="J13" s="90"/>
      <c r="K13" s="90"/>
      <c r="L13" s="91"/>
    </row>
  </sheetData>
  <mergeCells count="3">
    <mergeCell ref="A1:L2"/>
    <mergeCell ref="A3:L3"/>
    <mergeCell ref="A11:L1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showGridLines="0" workbookViewId="0"/>
  </sheetViews>
  <sheetFormatPr defaultRowHeight="14"/>
  <cols>
    <col min="1" max="1" width="12" customWidth="1"/>
    <col min="2" max="2" width="9" customWidth="1"/>
    <col min="3" max="3" width="12" customWidth="1"/>
    <col min="4" max="4" width="26" customWidth="1"/>
    <col min="5" max="5" width="50" customWidth="1"/>
    <col min="6" max="7" width="20" customWidth="1"/>
    <col min="8" max="8" width="70" customWidth="1"/>
    <col min="9" max="9" width="58" customWidth="1"/>
  </cols>
  <sheetData>
    <row r="1" spans="1:9" ht="27" customHeight="1">
      <c r="A1" s="37" t="s">
        <v>75</v>
      </c>
      <c r="B1" s="38"/>
      <c r="C1" s="38"/>
      <c r="D1" s="38"/>
      <c r="E1" s="38"/>
      <c r="F1" s="38"/>
      <c r="G1" s="38"/>
      <c r="H1" s="38"/>
      <c r="I1" s="38"/>
    </row>
    <row r="2" spans="1:9" ht="27" customHeight="1">
      <c r="A2" s="38"/>
      <c r="B2" s="38"/>
      <c r="C2" s="38"/>
      <c r="D2" s="38"/>
      <c r="E2" s="38"/>
      <c r="F2" s="38"/>
      <c r="G2" s="38"/>
      <c r="H2" s="38"/>
      <c r="I2" s="38"/>
    </row>
    <row r="3" spans="1:9" ht="30" customHeight="1">
      <c r="A3" s="39" t="s">
        <v>76</v>
      </c>
      <c r="B3" s="39"/>
      <c r="C3" s="39"/>
      <c r="D3" s="39"/>
      <c r="E3" s="39"/>
      <c r="F3" s="39"/>
      <c r="G3" s="39"/>
      <c r="H3" s="39"/>
      <c r="I3" s="39"/>
    </row>
    <row r="4" spans="1:9" ht="14.5">
      <c r="A4" s="36"/>
      <c r="B4" s="36"/>
      <c r="C4" s="36"/>
      <c r="D4" s="36"/>
      <c r="E4" s="36"/>
      <c r="F4" s="36"/>
      <c r="G4" s="36"/>
      <c r="H4" s="36"/>
      <c r="I4" s="36"/>
    </row>
    <row r="5" spans="1:9" ht="34" customHeight="1">
      <c r="A5" s="1" t="s">
        <v>35</v>
      </c>
      <c r="B5" s="1" t="s">
        <v>19</v>
      </c>
      <c r="C5" s="1" t="s">
        <v>36</v>
      </c>
      <c r="D5" s="1" t="s">
        <v>77</v>
      </c>
      <c r="E5" s="1" t="s">
        <v>37</v>
      </c>
      <c r="F5" s="1" t="s">
        <v>41</v>
      </c>
      <c r="G5" s="1" t="s">
        <v>42</v>
      </c>
      <c r="H5" s="1" t="s">
        <v>78</v>
      </c>
      <c r="I5" s="1" t="s">
        <v>79</v>
      </c>
    </row>
    <row r="6" spans="1:9" ht="92" customHeight="1">
      <c r="A6" s="2" t="s">
        <v>80</v>
      </c>
      <c r="B6" s="2" t="s">
        <v>23</v>
      </c>
      <c r="C6" s="2" t="s">
        <v>16</v>
      </c>
      <c r="D6" s="28" t="s">
        <v>81</v>
      </c>
      <c r="E6" s="2" t="s">
        <v>82</v>
      </c>
      <c r="F6" s="2" t="s">
        <v>83</v>
      </c>
      <c r="G6" s="2" t="s">
        <v>84</v>
      </c>
      <c r="H6" s="2" t="s">
        <v>85</v>
      </c>
      <c r="I6" s="2" t="s">
        <v>86</v>
      </c>
    </row>
    <row r="7" spans="1:9" ht="92" customHeight="1">
      <c r="A7" s="3" t="s">
        <v>87</v>
      </c>
      <c r="B7" s="3" t="s">
        <v>25</v>
      </c>
      <c r="C7" s="3" t="s">
        <v>14</v>
      </c>
      <c r="D7" s="29" t="s">
        <v>8</v>
      </c>
      <c r="E7" s="3" t="s">
        <v>88</v>
      </c>
      <c r="F7" s="3" t="s">
        <v>89</v>
      </c>
      <c r="G7" s="3" t="s">
        <v>89</v>
      </c>
      <c r="H7" s="3" t="s">
        <v>90</v>
      </c>
      <c r="I7" s="3" t="s">
        <v>91</v>
      </c>
    </row>
    <row r="8" spans="1:9" ht="92" customHeight="1">
      <c r="A8" s="3" t="s">
        <v>92</v>
      </c>
      <c r="B8" s="3" t="s">
        <v>25</v>
      </c>
      <c r="C8" s="3" t="s">
        <v>14</v>
      </c>
      <c r="D8" s="29" t="s">
        <v>8</v>
      </c>
      <c r="E8" s="3" t="s">
        <v>93</v>
      </c>
      <c r="F8" s="3" t="s">
        <v>89</v>
      </c>
      <c r="G8" s="3" t="s">
        <v>89</v>
      </c>
      <c r="H8" s="3" t="s">
        <v>94</v>
      </c>
      <c r="I8" s="3" t="s">
        <v>95</v>
      </c>
    </row>
    <row r="9" spans="1:9" ht="92" customHeight="1">
      <c r="A9" s="3" t="s">
        <v>96</v>
      </c>
      <c r="B9" s="3" t="s">
        <v>25</v>
      </c>
      <c r="C9" s="3" t="s">
        <v>14</v>
      </c>
      <c r="D9" s="29" t="s">
        <v>8</v>
      </c>
      <c r="E9" s="3" t="s">
        <v>97</v>
      </c>
      <c r="F9" s="3" t="s">
        <v>89</v>
      </c>
      <c r="G9" s="3" t="s">
        <v>89</v>
      </c>
      <c r="H9" s="3" t="s">
        <v>98</v>
      </c>
      <c r="I9" s="3" t="s">
        <v>99</v>
      </c>
    </row>
    <row r="10" spans="1:9" ht="92" customHeight="1">
      <c r="A10" s="3" t="s">
        <v>100</v>
      </c>
      <c r="B10" s="3" t="s">
        <v>25</v>
      </c>
      <c r="C10" s="3" t="s">
        <v>14</v>
      </c>
      <c r="D10" s="29" t="s">
        <v>8</v>
      </c>
      <c r="E10" s="3" t="s">
        <v>101</v>
      </c>
      <c r="F10" s="3" t="s">
        <v>89</v>
      </c>
      <c r="G10" s="3" t="s">
        <v>89</v>
      </c>
      <c r="H10" s="3" t="s">
        <v>102</v>
      </c>
      <c r="I10" s="3" t="s">
        <v>103</v>
      </c>
    </row>
    <row r="11" spans="1:9" ht="92" customHeight="1">
      <c r="A11" s="3" t="s">
        <v>104</v>
      </c>
      <c r="B11" s="3" t="s">
        <v>25</v>
      </c>
      <c r="C11" s="3" t="s">
        <v>14</v>
      </c>
      <c r="D11" s="29" t="s">
        <v>8</v>
      </c>
      <c r="E11" s="3" t="s">
        <v>105</v>
      </c>
      <c r="F11" s="3" t="s">
        <v>63</v>
      </c>
      <c r="G11" s="3" t="s">
        <v>63</v>
      </c>
      <c r="H11" s="3" t="s">
        <v>106</v>
      </c>
      <c r="I11" s="3" t="s">
        <v>107</v>
      </c>
    </row>
    <row r="12" spans="1:9" ht="92" customHeight="1">
      <c r="A12" s="3" t="s">
        <v>108</v>
      </c>
      <c r="B12" s="3" t="s">
        <v>25</v>
      </c>
      <c r="C12" s="3" t="s">
        <v>17</v>
      </c>
      <c r="D12" s="29" t="s">
        <v>8</v>
      </c>
      <c r="E12" s="3" t="s">
        <v>109</v>
      </c>
      <c r="F12" s="3" t="s">
        <v>110</v>
      </c>
      <c r="G12" s="3" t="s">
        <v>111</v>
      </c>
      <c r="H12" s="3" t="s">
        <v>112</v>
      </c>
      <c r="I12" s="3" t="s">
        <v>113</v>
      </c>
    </row>
    <row r="13" spans="1:9" ht="14.5">
      <c r="A13" s="36"/>
      <c r="B13" s="36"/>
      <c r="C13" s="36"/>
      <c r="D13" s="36"/>
      <c r="E13" s="36"/>
      <c r="F13" s="36"/>
      <c r="G13" s="36"/>
      <c r="H13" s="36"/>
      <c r="I13" s="36"/>
    </row>
    <row r="14" spans="1:9" ht="14.5">
      <c r="A14" s="36"/>
      <c r="B14" s="36"/>
      <c r="C14" s="36"/>
      <c r="D14" s="36"/>
      <c r="E14" s="36"/>
      <c r="F14" s="36"/>
      <c r="G14" s="36"/>
      <c r="H14" s="36"/>
      <c r="I14" s="36"/>
    </row>
    <row r="15" spans="1:9">
      <c r="A15" s="92" t="s">
        <v>114</v>
      </c>
      <c r="B15" s="92"/>
      <c r="C15" s="92"/>
      <c r="D15" s="92"/>
      <c r="E15" s="92"/>
      <c r="F15" s="92"/>
      <c r="G15" s="92"/>
      <c r="H15" s="92"/>
      <c r="I15" s="92"/>
    </row>
    <row r="16" spans="1:9">
      <c r="A16" s="92"/>
      <c r="B16" s="92"/>
      <c r="C16" s="92"/>
      <c r="D16" s="92"/>
      <c r="E16" s="92"/>
      <c r="F16" s="92"/>
      <c r="G16" s="92"/>
      <c r="H16" s="92"/>
      <c r="I16" s="92"/>
    </row>
    <row r="17" spans="1:9">
      <c r="A17" s="92"/>
      <c r="B17" s="92"/>
      <c r="C17" s="92"/>
      <c r="D17" s="92"/>
      <c r="E17" s="92"/>
      <c r="F17" s="92"/>
      <c r="G17" s="92"/>
      <c r="H17" s="92"/>
      <c r="I17" s="92"/>
    </row>
  </sheetData>
  <mergeCells count="3">
    <mergeCell ref="A1:I2"/>
    <mergeCell ref="A3:I3"/>
    <mergeCell ref="A15:I17"/>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4"/>
  <sheetViews>
    <sheetView showGridLines="0" workbookViewId="0"/>
  </sheetViews>
  <sheetFormatPr defaultRowHeight="14"/>
  <cols>
    <col min="1" max="2" width="14" customWidth="1"/>
    <col min="3" max="10" width="15" customWidth="1"/>
  </cols>
  <sheetData>
    <row r="1" spans="1:10" ht="27" customHeight="1">
      <c r="A1" s="37" t="s">
        <v>115</v>
      </c>
      <c r="B1" s="38"/>
      <c r="C1" s="38"/>
      <c r="D1" s="38"/>
      <c r="E1" s="38"/>
      <c r="F1" s="38"/>
      <c r="G1" s="38"/>
      <c r="H1" s="38"/>
      <c r="I1" s="38"/>
      <c r="J1" s="38"/>
    </row>
    <row r="2" spans="1:10" ht="27" customHeight="1">
      <c r="A2" s="38"/>
      <c r="B2" s="38"/>
      <c r="C2" s="38"/>
      <c r="D2" s="38"/>
      <c r="E2" s="38"/>
      <c r="F2" s="38"/>
      <c r="G2" s="38"/>
      <c r="H2" s="38"/>
      <c r="I2" s="38"/>
      <c r="J2" s="38"/>
    </row>
    <row r="3" spans="1:10" ht="30" customHeight="1">
      <c r="A3" s="39" t="s">
        <v>116</v>
      </c>
      <c r="B3" s="39"/>
      <c r="C3" s="39"/>
      <c r="D3" s="39"/>
      <c r="E3" s="39"/>
      <c r="F3" s="39"/>
      <c r="G3" s="39"/>
      <c r="H3" s="39"/>
      <c r="I3" s="39"/>
      <c r="J3" s="39"/>
    </row>
    <row r="4" spans="1:10" ht="14.5">
      <c r="A4" s="36"/>
      <c r="B4" s="36"/>
      <c r="C4" s="36"/>
      <c r="D4" s="36"/>
      <c r="E4" s="36"/>
      <c r="F4" s="36"/>
      <c r="G4" s="36"/>
      <c r="H4" s="36"/>
      <c r="I4" s="36"/>
      <c r="J4" s="36"/>
    </row>
    <row r="5" spans="1:10" ht="25" customHeight="1">
      <c r="A5" s="93" t="s">
        <v>117</v>
      </c>
      <c r="B5" s="94"/>
      <c r="C5" s="94"/>
      <c r="D5" s="94"/>
      <c r="E5" s="94"/>
      <c r="F5" s="94"/>
      <c r="G5" s="94"/>
      <c r="H5" s="94"/>
      <c r="I5" s="94"/>
      <c r="J5" s="95"/>
    </row>
    <row r="6" spans="1:10" ht="29" customHeight="1">
      <c r="A6" s="96" t="s">
        <v>118</v>
      </c>
      <c r="B6" s="50"/>
      <c r="C6" s="97" t="s">
        <v>47</v>
      </c>
      <c r="D6" s="97"/>
      <c r="E6" s="97"/>
      <c r="F6" s="97"/>
      <c r="G6" s="97"/>
      <c r="H6" s="97"/>
      <c r="I6" s="97"/>
      <c r="J6" s="98"/>
    </row>
    <row r="7" spans="1:10" ht="29" customHeight="1">
      <c r="A7" s="96"/>
      <c r="B7" s="50"/>
      <c r="C7" s="97"/>
      <c r="D7" s="97"/>
      <c r="E7" s="97"/>
      <c r="F7" s="97"/>
      <c r="G7" s="97"/>
      <c r="H7" s="97"/>
      <c r="I7" s="97"/>
      <c r="J7" s="98"/>
    </row>
    <row r="8" spans="1:10" ht="42" customHeight="1">
      <c r="A8" s="99" t="s">
        <v>119</v>
      </c>
      <c r="B8" s="40"/>
      <c r="C8" s="100" t="s">
        <v>120</v>
      </c>
      <c r="D8" s="101"/>
      <c r="E8" s="101"/>
      <c r="F8" s="101"/>
      <c r="G8" s="101"/>
      <c r="H8" s="101"/>
      <c r="I8" s="101"/>
      <c r="J8" s="102"/>
    </row>
    <row r="9" spans="1:10" ht="42" customHeight="1">
      <c r="A9" s="99"/>
      <c r="B9" s="40"/>
      <c r="C9" s="103"/>
      <c r="D9" s="104"/>
      <c r="E9" s="104"/>
      <c r="F9" s="104"/>
      <c r="G9" s="104"/>
      <c r="H9" s="104"/>
      <c r="I9" s="104"/>
      <c r="J9" s="105"/>
    </row>
    <row r="10" spans="1:10" ht="42" customHeight="1">
      <c r="A10" s="99"/>
      <c r="B10" s="40"/>
      <c r="C10" s="103"/>
      <c r="D10" s="104"/>
      <c r="E10" s="104"/>
      <c r="F10" s="104"/>
      <c r="G10" s="104"/>
      <c r="H10" s="104"/>
      <c r="I10" s="104"/>
      <c r="J10" s="105"/>
    </row>
    <row r="11" spans="1:10" ht="42" customHeight="1">
      <c r="A11" s="99"/>
      <c r="B11" s="40"/>
      <c r="C11" s="103"/>
      <c r="D11" s="104"/>
      <c r="E11" s="104"/>
      <c r="F11" s="104"/>
      <c r="G11" s="104"/>
      <c r="H11" s="104"/>
      <c r="I11" s="104"/>
      <c r="J11" s="105"/>
    </row>
    <row r="12" spans="1:10" ht="42" customHeight="1">
      <c r="A12" s="99"/>
      <c r="B12" s="40"/>
      <c r="C12" s="106"/>
      <c r="D12" s="107"/>
      <c r="E12" s="107"/>
      <c r="F12" s="107"/>
      <c r="G12" s="107"/>
      <c r="H12" s="107"/>
      <c r="I12" s="107"/>
      <c r="J12" s="108"/>
    </row>
    <row r="13" spans="1:10" ht="30" customHeight="1">
      <c r="A13" s="109" t="s">
        <v>121</v>
      </c>
      <c r="B13" s="70"/>
      <c r="C13" s="110" t="s">
        <v>51</v>
      </c>
      <c r="D13" s="110"/>
      <c r="E13" s="110"/>
      <c r="F13" s="110"/>
      <c r="G13" s="110"/>
      <c r="H13" s="110"/>
      <c r="I13" s="110"/>
      <c r="J13" s="111"/>
    </row>
    <row r="14" spans="1:10" ht="30" customHeight="1">
      <c r="A14" s="109"/>
      <c r="B14" s="70"/>
      <c r="C14" s="110"/>
      <c r="D14" s="110"/>
      <c r="E14" s="110"/>
      <c r="F14" s="110"/>
      <c r="G14" s="110"/>
      <c r="H14" s="110"/>
      <c r="I14" s="110"/>
      <c r="J14" s="111"/>
    </row>
    <row r="15" spans="1:10" ht="30" customHeight="1">
      <c r="A15" s="109"/>
      <c r="B15" s="70"/>
      <c r="C15" s="110"/>
      <c r="D15" s="110"/>
      <c r="E15" s="110"/>
      <c r="F15" s="110"/>
      <c r="G15" s="110"/>
      <c r="H15" s="110"/>
      <c r="I15" s="110"/>
      <c r="J15" s="111"/>
    </row>
    <row r="16" spans="1:10" ht="30" customHeight="1">
      <c r="A16" s="112" t="s">
        <v>122</v>
      </c>
      <c r="B16" s="113"/>
      <c r="C16" s="114" t="s">
        <v>52</v>
      </c>
      <c r="D16" s="114"/>
      <c r="E16" s="114"/>
      <c r="F16" s="114"/>
      <c r="G16" s="114"/>
      <c r="H16" s="114"/>
      <c r="I16" s="114"/>
      <c r="J16" s="115"/>
    </row>
    <row r="17" spans="1:10" ht="30" customHeight="1">
      <c r="A17" s="112"/>
      <c r="B17" s="113"/>
      <c r="C17" s="114"/>
      <c r="D17" s="114"/>
      <c r="E17" s="114"/>
      <c r="F17" s="114"/>
      <c r="G17" s="114"/>
      <c r="H17" s="114"/>
      <c r="I17" s="114"/>
      <c r="J17" s="115"/>
    </row>
    <row r="18" spans="1:10" ht="30" customHeight="1">
      <c r="A18" s="112"/>
      <c r="B18" s="113"/>
      <c r="C18" s="114"/>
      <c r="D18" s="114"/>
      <c r="E18" s="114"/>
      <c r="F18" s="114"/>
      <c r="G18" s="114"/>
      <c r="H18" s="114"/>
      <c r="I18" s="114"/>
      <c r="J18" s="115"/>
    </row>
    <row r="19" spans="1:10" ht="28" customHeight="1">
      <c r="A19" s="116" t="s">
        <v>123</v>
      </c>
      <c r="B19" s="117"/>
      <c r="C19" s="120" t="s">
        <v>124</v>
      </c>
      <c r="D19" s="120"/>
      <c r="E19" s="120"/>
      <c r="F19" s="120"/>
      <c r="G19" s="120"/>
      <c r="H19" s="120"/>
      <c r="I19" s="120"/>
      <c r="J19" s="121"/>
    </row>
    <row r="20" spans="1:10" ht="28" customHeight="1">
      <c r="A20" s="118"/>
      <c r="B20" s="119"/>
      <c r="C20" s="122"/>
      <c r="D20" s="122"/>
      <c r="E20" s="122"/>
      <c r="F20" s="122"/>
      <c r="G20" s="122"/>
      <c r="H20" s="122"/>
      <c r="I20" s="122"/>
      <c r="J20" s="123"/>
    </row>
    <row r="21" spans="1:10" ht="14.5">
      <c r="A21" s="36"/>
      <c r="B21" s="36"/>
      <c r="C21" s="36"/>
      <c r="D21" s="36"/>
      <c r="E21" s="36"/>
      <c r="F21" s="36"/>
      <c r="G21" s="36"/>
      <c r="H21" s="36"/>
      <c r="I21" s="36"/>
      <c r="J21" s="36"/>
    </row>
    <row r="22" spans="1:10" ht="14.5">
      <c r="A22" s="36"/>
      <c r="B22" s="36"/>
      <c r="C22" s="36"/>
      <c r="D22" s="36"/>
      <c r="E22" s="36"/>
      <c r="F22" s="36"/>
      <c r="G22" s="36"/>
      <c r="H22" s="36"/>
      <c r="I22" s="36"/>
      <c r="J22" s="36"/>
    </row>
    <row r="23" spans="1:10" ht="25" customHeight="1">
      <c r="A23" s="93" t="s">
        <v>125</v>
      </c>
      <c r="B23" s="94"/>
      <c r="C23" s="94"/>
      <c r="D23" s="94"/>
      <c r="E23" s="94"/>
      <c r="F23" s="94"/>
      <c r="G23" s="94"/>
      <c r="H23" s="94"/>
      <c r="I23" s="94"/>
      <c r="J23" s="95"/>
    </row>
    <row r="24" spans="1:10" ht="29" customHeight="1">
      <c r="A24" s="96" t="s">
        <v>118</v>
      </c>
      <c r="B24" s="50"/>
      <c r="C24" s="97" t="s">
        <v>55</v>
      </c>
      <c r="D24" s="97"/>
      <c r="E24" s="97"/>
      <c r="F24" s="97"/>
      <c r="G24" s="97"/>
      <c r="H24" s="97"/>
      <c r="I24" s="97"/>
      <c r="J24" s="98"/>
    </row>
    <row r="25" spans="1:10" ht="29" customHeight="1">
      <c r="A25" s="96"/>
      <c r="B25" s="50"/>
      <c r="C25" s="97"/>
      <c r="D25" s="97"/>
      <c r="E25" s="97"/>
      <c r="F25" s="97"/>
      <c r="G25" s="97"/>
      <c r="H25" s="97"/>
      <c r="I25" s="97"/>
      <c r="J25" s="98"/>
    </row>
    <row r="26" spans="1:10" ht="42" customHeight="1">
      <c r="A26" s="99" t="s">
        <v>119</v>
      </c>
      <c r="B26" s="40"/>
      <c r="C26" s="100" t="s">
        <v>126</v>
      </c>
      <c r="D26" s="101"/>
      <c r="E26" s="101"/>
      <c r="F26" s="101"/>
      <c r="G26" s="101"/>
      <c r="H26" s="101"/>
      <c r="I26" s="101"/>
      <c r="J26" s="102"/>
    </row>
    <row r="27" spans="1:10" ht="42" customHeight="1">
      <c r="A27" s="99"/>
      <c r="B27" s="40"/>
      <c r="C27" s="103"/>
      <c r="D27" s="104"/>
      <c r="E27" s="104"/>
      <c r="F27" s="104"/>
      <c r="G27" s="104"/>
      <c r="H27" s="104"/>
      <c r="I27" s="104"/>
      <c r="J27" s="105"/>
    </row>
    <row r="28" spans="1:10" ht="42" customHeight="1">
      <c r="A28" s="99"/>
      <c r="B28" s="40"/>
      <c r="C28" s="103"/>
      <c r="D28" s="104"/>
      <c r="E28" s="104"/>
      <c r="F28" s="104"/>
      <c r="G28" s="104"/>
      <c r="H28" s="104"/>
      <c r="I28" s="104"/>
      <c r="J28" s="105"/>
    </row>
    <row r="29" spans="1:10" ht="42" customHeight="1">
      <c r="A29" s="99"/>
      <c r="B29" s="40"/>
      <c r="C29" s="103"/>
      <c r="D29" s="104"/>
      <c r="E29" s="104"/>
      <c r="F29" s="104"/>
      <c r="G29" s="104"/>
      <c r="H29" s="104"/>
      <c r="I29" s="104"/>
      <c r="J29" s="105"/>
    </row>
    <row r="30" spans="1:10" ht="42" customHeight="1">
      <c r="A30" s="99"/>
      <c r="B30" s="40"/>
      <c r="C30" s="106"/>
      <c r="D30" s="107"/>
      <c r="E30" s="107"/>
      <c r="F30" s="107"/>
      <c r="G30" s="107"/>
      <c r="H30" s="107"/>
      <c r="I30" s="107"/>
      <c r="J30" s="108"/>
    </row>
    <row r="31" spans="1:10" ht="30" customHeight="1">
      <c r="A31" s="109" t="s">
        <v>121</v>
      </c>
      <c r="B31" s="70"/>
      <c r="C31" s="110" t="s">
        <v>58</v>
      </c>
      <c r="D31" s="110"/>
      <c r="E31" s="110"/>
      <c r="F31" s="110"/>
      <c r="G31" s="110"/>
      <c r="H31" s="110"/>
      <c r="I31" s="110"/>
      <c r="J31" s="111"/>
    </row>
    <row r="32" spans="1:10" ht="30" customHeight="1">
      <c r="A32" s="109"/>
      <c r="B32" s="70"/>
      <c r="C32" s="110"/>
      <c r="D32" s="110"/>
      <c r="E32" s="110"/>
      <c r="F32" s="110"/>
      <c r="G32" s="110"/>
      <c r="H32" s="110"/>
      <c r="I32" s="110"/>
      <c r="J32" s="111"/>
    </row>
    <row r="33" spans="1:10" ht="30" customHeight="1">
      <c r="A33" s="109"/>
      <c r="B33" s="70"/>
      <c r="C33" s="110"/>
      <c r="D33" s="110"/>
      <c r="E33" s="110"/>
      <c r="F33" s="110"/>
      <c r="G33" s="110"/>
      <c r="H33" s="110"/>
      <c r="I33" s="110"/>
      <c r="J33" s="111"/>
    </row>
    <row r="34" spans="1:10" ht="30" customHeight="1">
      <c r="A34" s="112" t="s">
        <v>122</v>
      </c>
      <c r="B34" s="113"/>
      <c r="C34" s="114" t="s">
        <v>59</v>
      </c>
      <c r="D34" s="114"/>
      <c r="E34" s="114"/>
      <c r="F34" s="114"/>
      <c r="G34" s="114"/>
      <c r="H34" s="114"/>
      <c r="I34" s="114"/>
      <c r="J34" s="115"/>
    </row>
    <row r="35" spans="1:10" ht="30" customHeight="1">
      <c r="A35" s="112"/>
      <c r="B35" s="113"/>
      <c r="C35" s="114"/>
      <c r="D35" s="114"/>
      <c r="E35" s="114"/>
      <c r="F35" s="114"/>
      <c r="G35" s="114"/>
      <c r="H35" s="114"/>
      <c r="I35" s="114"/>
      <c r="J35" s="115"/>
    </row>
    <row r="36" spans="1:10" ht="30" customHeight="1">
      <c r="A36" s="112"/>
      <c r="B36" s="113"/>
      <c r="C36" s="114"/>
      <c r="D36" s="114"/>
      <c r="E36" s="114"/>
      <c r="F36" s="114"/>
      <c r="G36" s="114"/>
      <c r="H36" s="114"/>
      <c r="I36" s="114"/>
      <c r="J36" s="115"/>
    </row>
    <row r="37" spans="1:10" ht="28" customHeight="1">
      <c r="A37" s="116" t="s">
        <v>123</v>
      </c>
      <c r="B37" s="117"/>
      <c r="C37" s="120" t="s">
        <v>127</v>
      </c>
      <c r="D37" s="120"/>
      <c r="E37" s="120"/>
      <c r="F37" s="120"/>
      <c r="G37" s="120"/>
      <c r="H37" s="120"/>
      <c r="I37" s="120"/>
      <c r="J37" s="121"/>
    </row>
    <row r="38" spans="1:10" ht="28" customHeight="1">
      <c r="A38" s="118"/>
      <c r="B38" s="119"/>
      <c r="C38" s="122"/>
      <c r="D38" s="122"/>
      <c r="E38" s="122"/>
      <c r="F38" s="122"/>
      <c r="G38" s="122"/>
      <c r="H38" s="122"/>
      <c r="I38" s="122"/>
      <c r="J38" s="123"/>
    </row>
    <row r="39" spans="1:10" ht="14.5">
      <c r="A39" s="36"/>
      <c r="B39" s="36"/>
      <c r="C39" s="36"/>
      <c r="D39" s="36"/>
      <c r="E39" s="36"/>
      <c r="F39" s="36"/>
      <c r="G39" s="36"/>
      <c r="H39" s="36"/>
      <c r="I39" s="36"/>
      <c r="J39" s="36"/>
    </row>
    <row r="40" spans="1:10" ht="14.5">
      <c r="A40" s="36"/>
      <c r="B40" s="36"/>
      <c r="C40" s="36"/>
      <c r="D40" s="36"/>
      <c r="E40" s="36"/>
      <c r="F40" s="36"/>
      <c r="G40" s="36"/>
      <c r="H40" s="36"/>
      <c r="I40" s="36"/>
      <c r="J40" s="36"/>
    </row>
    <row r="41" spans="1:10" ht="25" customHeight="1">
      <c r="A41" s="93" t="s">
        <v>128</v>
      </c>
      <c r="B41" s="94"/>
      <c r="C41" s="94"/>
      <c r="D41" s="94"/>
      <c r="E41" s="94"/>
      <c r="F41" s="94"/>
      <c r="G41" s="94"/>
      <c r="H41" s="94"/>
      <c r="I41" s="94"/>
      <c r="J41" s="95"/>
    </row>
    <row r="42" spans="1:10" ht="29" customHeight="1">
      <c r="A42" s="96" t="s">
        <v>118</v>
      </c>
      <c r="B42" s="50"/>
      <c r="C42" s="97" t="s">
        <v>61</v>
      </c>
      <c r="D42" s="97"/>
      <c r="E42" s="97"/>
      <c r="F42" s="97"/>
      <c r="G42" s="97"/>
      <c r="H42" s="97"/>
      <c r="I42" s="97"/>
      <c r="J42" s="98"/>
    </row>
    <row r="43" spans="1:10" ht="29" customHeight="1">
      <c r="A43" s="96"/>
      <c r="B43" s="50"/>
      <c r="C43" s="97"/>
      <c r="D43" s="97"/>
      <c r="E43" s="97"/>
      <c r="F43" s="97"/>
      <c r="G43" s="97"/>
      <c r="H43" s="97"/>
      <c r="I43" s="97"/>
      <c r="J43" s="98"/>
    </row>
    <row r="44" spans="1:10" ht="42" customHeight="1">
      <c r="A44" s="99" t="s">
        <v>119</v>
      </c>
      <c r="B44" s="40"/>
      <c r="C44" s="100" t="s">
        <v>129</v>
      </c>
      <c r="D44" s="101"/>
      <c r="E44" s="101"/>
      <c r="F44" s="101"/>
      <c r="G44" s="101"/>
      <c r="H44" s="101"/>
      <c r="I44" s="101"/>
      <c r="J44" s="102"/>
    </row>
    <row r="45" spans="1:10" ht="42" customHeight="1">
      <c r="A45" s="99"/>
      <c r="B45" s="40"/>
      <c r="C45" s="103"/>
      <c r="D45" s="104"/>
      <c r="E45" s="104"/>
      <c r="F45" s="104"/>
      <c r="G45" s="104"/>
      <c r="H45" s="104"/>
      <c r="I45" s="104"/>
      <c r="J45" s="105"/>
    </row>
    <row r="46" spans="1:10" ht="42" customHeight="1">
      <c r="A46" s="99"/>
      <c r="B46" s="40"/>
      <c r="C46" s="103"/>
      <c r="D46" s="104"/>
      <c r="E46" s="104"/>
      <c r="F46" s="104"/>
      <c r="G46" s="104"/>
      <c r="H46" s="104"/>
      <c r="I46" s="104"/>
      <c r="J46" s="105"/>
    </row>
    <row r="47" spans="1:10" ht="42" customHeight="1">
      <c r="A47" s="99"/>
      <c r="B47" s="40"/>
      <c r="C47" s="103"/>
      <c r="D47" s="104"/>
      <c r="E47" s="104"/>
      <c r="F47" s="104"/>
      <c r="G47" s="104"/>
      <c r="H47" s="104"/>
      <c r="I47" s="104"/>
      <c r="J47" s="105"/>
    </row>
    <row r="48" spans="1:10" ht="42" customHeight="1">
      <c r="A48" s="99"/>
      <c r="B48" s="40"/>
      <c r="C48" s="106"/>
      <c r="D48" s="107"/>
      <c r="E48" s="107"/>
      <c r="F48" s="107"/>
      <c r="G48" s="107"/>
      <c r="H48" s="107"/>
      <c r="I48" s="107"/>
      <c r="J48" s="108"/>
    </row>
    <row r="49" spans="1:10" ht="30" customHeight="1">
      <c r="A49" s="109" t="s">
        <v>121</v>
      </c>
      <c r="B49" s="70"/>
      <c r="C49" s="110" t="s">
        <v>64</v>
      </c>
      <c r="D49" s="110"/>
      <c r="E49" s="110"/>
      <c r="F49" s="110"/>
      <c r="G49" s="110"/>
      <c r="H49" s="110"/>
      <c r="I49" s="110"/>
      <c r="J49" s="111"/>
    </row>
    <row r="50" spans="1:10" ht="30" customHeight="1">
      <c r="A50" s="109"/>
      <c r="B50" s="70"/>
      <c r="C50" s="110"/>
      <c r="D50" s="110"/>
      <c r="E50" s="110"/>
      <c r="F50" s="110"/>
      <c r="G50" s="110"/>
      <c r="H50" s="110"/>
      <c r="I50" s="110"/>
      <c r="J50" s="111"/>
    </row>
    <row r="51" spans="1:10" ht="30" customHeight="1">
      <c r="A51" s="109"/>
      <c r="B51" s="70"/>
      <c r="C51" s="110"/>
      <c r="D51" s="110"/>
      <c r="E51" s="110"/>
      <c r="F51" s="110"/>
      <c r="G51" s="110"/>
      <c r="H51" s="110"/>
      <c r="I51" s="110"/>
      <c r="J51" s="111"/>
    </row>
    <row r="52" spans="1:10" ht="30" customHeight="1">
      <c r="A52" s="112" t="s">
        <v>122</v>
      </c>
      <c r="B52" s="113"/>
      <c r="C52" s="114" t="s">
        <v>65</v>
      </c>
      <c r="D52" s="114"/>
      <c r="E52" s="114"/>
      <c r="F52" s="114"/>
      <c r="G52" s="114"/>
      <c r="H52" s="114"/>
      <c r="I52" s="114"/>
      <c r="J52" s="115"/>
    </row>
    <row r="53" spans="1:10" ht="30" customHeight="1">
      <c r="A53" s="112"/>
      <c r="B53" s="113"/>
      <c r="C53" s="114"/>
      <c r="D53" s="114"/>
      <c r="E53" s="114"/>
      <c r="F53" s="114"/>
      <c r="G53" s="114"/>
      <c r="H53" s="114"/>
      <c r="I53" s="114"/>
      <c r="J53" s="115"/>
    </row>
    <row r="54" spans="1:10" ht="30" customHeight="1">
      <c r="A54" s="112"/>
      <c r="B54" s="113"/>
      <c r="C54" s="114"/>
      <c r="D54" s="114"/>
      <c r="E54" s="114"/>
      <c r="F54" s="114"/>
      <c r="G54" s="114"/>
      <c r="H54" s="114"/>
      <c r="I54" s="114"/>
      <c r="J54" s="115"/>
    </row>
    <row r="55" spans="1:10" ht="28" customHeight="1">
      <c r="A55" s="116" t="s">
        <v>123</v>
      </c>
      <c r="B55" s="117"/>
      <c r="C55" s="120" t="s">
        <v>130</v>
      </c>
      <c r="D55" s="120"/>
      <c r="E55" s="120"/>
      <c r="F55" s="120"/>
      <c r="G55" s="120"/>
      <c r="H55" s="120"/>
      <c r="I55" s="120"/>
      <c r="J55" s="121"/>
    </row>
    <row r="56" spans="1:10" ht="28" customHeight="1">
      <c r="A56" s="118"/>
      <c r="B56" s="119"/>
      <c r="C56" s="122"/>
      <c r="D56" s="122"/>
      <c r="E56" s="122"/>
      <c r="F56" s="122"/>
      <c r="G56" s="122"/>
      <c r="H56" s="122"/>
      <c r="I56" s="122"/>
      <c r="J56" s="123"/>
    </row>
    <row r="57" spans="1:10" ht="14.5">
      <c r="A57" s="36"/>
      <c r="B57" s="36"/>
      <c r="C57" s="36"/>
      <c r="D57" s="36"/>
      <c r="E57" s="36"/>
      <c r="F57" s="36"/>
      <c r="G57" s="36"/>
      <c r="H57" s="36"/>
      <c r="I57" s="36"/>
      <c r="J57" s="36"/>
    </row>
    <row r="58" spans="1:10" ht="14.5">
      <c r="A58" s="36"/>
      <c r="B58" s="36"/>
      <c r="C58" s="36"/>
      <c r="D58" s="36"/>
      <c r="E58" s="36"/>
      <c r="F58" s="36"/>
      <c r="G58" s="36"/>
      <c r="H58" s="36"/>
      <c r="I58" s="36"/>
      <c r="J58" s="36"/>
    </row>
    <row r="59" spans="1:10" ht="25" customHeight="1">
      <c r="A59" s="93" t="s">
        <v>131</v>
      </c>
      <c r="B59" s="94"/>
      <c r="C59" s="94"/>
      <c r="D59" s="94"/>
      <c r="E59" s="94"/>
      <c r="F59" s="94"/>
      <c r="G59" s="94"/>
      <c r="H59" s="94"/>
      <c r="I59" s="94"/>
      <c r="J59" s="95"/>
    </row>
    <row r="60" spans="1:10" ht="29" customHeight="1">
      <c r="A60" s="96" t="s">
        <v>118</v>
      </c>
      <c r="B60" s="50"/>
      <c r="C60" s="97" t="s">
        <v>67</v>
      </c>
      <c r="D60" s="97"/>
      <c r="E60" s="97"/>
      <c r="F60" s="97"/>
      <c r="G60" s="97"/>
      <c r="H60" s="97"/>
      <c r="I60" s="97"/>
      <c r="J60" s="98"/>
    </row>
    <row r="61" spans="1:10" ht="29" customHeight="1">
      <c r="A61" s="96"/>
      <c r="B61" s="50"/>
      <c r="C61" s="97"/>
      <c r="D61" s="97"/>
      <c r="E61" s="97"/>
      <c r="F61" s="97"/>
      <c r="G61" s="97"/>
      <c r="H61" s="97"/>
      <c r="I61" s="97"/>
      <c r="J61" s="98"/>
    </row>
    <row r="62" spans="1:10" ht="42" customHeight="1">
      <c r="A62" s="99" t="s">
        <v>119</v>
      </c>
      <c r="B62" s="40"/>
      <c r="C62" s="100" t="s">
        <v>132</v>
      </c>
      <c r="D62" s="101"/>
      <c r="E62" s="101"/>
      <c r="F62" s="101"/>
      <c r="G62" s="101"/>
      <c r="H62" s="101"/>
      <c r="I62" s="101"/>
      <c r="J62" s="102"/>
    </row>
    <row r="63" spans="1:10" ht="42" customHeight="1">
      <c r="A63" s="99"/>
      <c r="B63" s="40"/>
      <c r="C63" s="103"/>
      <c r="D63" s="104"/>
      <c r="E63" s="104"/>
      <c r="F63" s="104"/>
      <c r="G63" s="104"/>
      <c r="H63" s="104"/>
      <c r="I63" s="104"/>
      <c r="J63" s="105"/>
    </row>
    <row r="64" spans="1:10" ht="42" customHeight="1">
      <c r="A64" s="99"/>
      <c r="B64" s="40"/>
      <c r="C64" s="103"/>
      <c r="D64" s="104"/>
      <c r="E64" s="104"/>
      <c r="F64" s="104"/>
      <c r="G64" s="104"/>
      <c r="H64" s="104"/>
      <c r="I64" s="104"/>
      <c r="J64" s="105"/>
    </row>
    <row r="65" spans="1:10" ht="42" customHeight="1">
      <c r="A65" s="99"/>
      <c r="B65" s="40"/>
      <c r="C65" s="103"/>
      <c r="D65" s="104"/>
      <c r="E65" s="104"/>
      <c r="F65" s="104"/>
      <c r="G65" s="104"/>
      <c r="H65" s="104"/>
      <c r="I65" s="104"/>
      <c r="J65" s="105"/>
    </row>
    <row r="66" spans="1:10" ht="42" customHeight="1">
      <c r="A66" s="99"/>
      <c r="B66" s="40"/>
      <c r="C66" s="106"/>
      <c r="D66" s="107"/>
      <c r="E66" s="107"/>
      <c r="F66" s="107"/>
      <c r="G66" s="107"/>
      <c r="H66" s="107"/>
      <c r="I66" s="107"/>
      <c r="J66" s="108"/>
    </row>
    <row r="67" spans="1:10" ht="30" customHeight="1">
      <c r="A67" s="109" t="s">
        <v>121</v>
      </c>
      <c r="B67" s="70"/>
      <c r="C67" s="110" t="s">
        <v>71</v>
      </c>
      <c r="D67" s="110"/>
      <c r="E67" s="110"/>
      <c r="F67" s="110"/>
      <c r="G67" s="110"/>
      <c r="H67" s="110"/>
      <c r="I67" s="110"/>
      <c r="J67" s="111"/>
    </row>
    <row r="68" spans="1:10" ht="30" customHeight="1">
      <c r="A68" s="109"/>
      <c r="B68" s="70"/>
      <c r="C68" s="110"/>
      <c r="D68" s="110"/>
      <c r="E68" s="110"/>
      <c r="F68" s="110"/>
      <c r="G68" s="110"/>
      <c r="H68" s="110"/>
      <c r="I68" s="110"/>
      <c r="J68" s="111"/>
    </row>
    <row r="69" spans="1:10" ht="30" customHeight="1">
      <c r="A69" s="109"/>
      <c r="B69" s="70"/>
      <c r="C69" s="110"/>
      <c r="D69" s="110"/>
      <c r="E69" s="110"/>
      <c r="F69" s="110"/>
      <c r="G69" s="110"/>
      <c r="H69" s="110"/>
      <c r="I69" s="110"/>
      <c r="J69" s="111"/>
    </row>
    <row r="70" spans="1:10" ht="30" customHeight="1">
      <c r="A70" s="112" t="s">
        <v>122</v>
      </c>
      <c r="B70" s="113"/>
      <c r="C70" s="114" t="s">
        <v>72</v>
      </c>
      <c r="D70" s="114"/>
      <c r="E70" s="114"/>
      <c r="F70" s="114"/>
      <c r="G70" s="114"/>
      <c r="H70" s="114"/>
      <c r="I70" s="114"/>
      <c r="J70" s="115"/>
    </row>
    <row r="71" spans="1:10" ht="30" customHeight="1">
      <c r="A71" s="112"/>
      <c r="B71" s="113"/>
      <c r="C71" s="114"/>
      <c r="D71" s="114"/>
      <c r="E71" s="114"/>
      <c r="F71" s="114"/>
      <c r="G71" s="114"/>
      <c r="H71" s="114"/>
      <c r="I71" s="114"/>
      <c r="J71" s="115"/>
    </row>
    <row r="72" spans="1:10" ht="30" customHeight="1">
      <c r="A72" s="112"/>
      <c r="B72" s="113"/>
      <c r="C72" s="114"/>
      <c r="D72" s="114"/>
      <c r="E72" s="114"/>
      <c r="F72" s="114"/>
      <c r="G72" s="114"/>
      <c r="H72" s="114"/>
      <c r="I72" s="114"/>
      <c r="J72" s="115"/>
    </row>
    <row r="73" spans="1:10" ht="28" customHeight="1">
      <c r="A73" s="116" t="s">
        <v>123</v>
      </c>
      <c r="B73" s="117"/>
      <c r="C73" s="120" t="s">
        <v>133</v>
      </c>
      <c r="D73" s="120"/>
      <c r="E73" s="120"/>
      <c r="F73" s="120"/>
      <c r="G73" s="120"/>
      <c r="H73" s="120"/>
      <c r="I73" s="120"/>
      <c r="J73" s="121"/>
    </row>
    <row r="74" spans="1:10" ht="28" customHeight="1">
      <c r="A74" s="118"/>
      <c r="B74" s="119"/>
      <c r="C74" s="122"/>
      <c r="D74" s="122"/>
      <c r="E74" s="122"/>
      <c r="F74" s="122"/>
      <c r="G74" s="122"/>
      <c r="H74" s="122"/>
      <c r="I74" s="122"/>
      <c r="J74" s="123"/>
    </row>
  </sheetData>
  <mergeCells count="46">
    <mergeCell ref="A73:B74"/>
    <mergeCell ref="C73:J74"/>
    <mergeCell ref="A62:B66"/>
    <mergeCell ref="C62:J66"/>
    <mergeCell ref="A67:B69"/>
    <mergeCell ref="C67:J69"/>
    <mergeCell ref="A70:B72"/>
    <mergeCell ref="C70:J72"/>
    <mergeCell ref="A55:B56"/>
    <mergeCell ref="C55:J56"/>
    <mergeCell ref="A59:J59"/>
    <mergeCell ref="A60:B61"/>
    <mergeCell ref="C60:J61"/>
    <mergeCell ref="A44:B48"/>
    <mergeCell ref="C44:J48"/>
    <mergeCell ref="A49:B51"/>
    <mergeCell ref="C49:J51"/>
    <mergeCell ref="A52:B54"/>
    <mergeCell ref="C52:J54"/>
    <mergeCell ref="A37:B38"/>
    <mergeCell ref="C37:J38"/>
    <mergeCell ref="A41:J41"/>
    <mergeCell ref="A42:B43"/>
    <mergeCell ref="C42:J43"/>
    <mergeCell ref="A26:B30"/>
    <mergeCell ref="C26:J30"/>
    <mergeCell ref="A31:B33"/>
    <mergeCell ref="C31:J33"/>
    <mergeCell ref="A34:B36"/>
    <mergeCell ref="C34:J36"/>
    <mergeCell ref="A19:B20"/>
    <mergeCell ref="C19:J20"/>
    <mergeCell ref="A23:J23"/>
    <mergeCell ref="A24:B25"/>
    <mergeCell ref="C24:J25"/>
    <mergeCell ref="A8:B12"/>
    <mergeCell ref="C8:J12"/>
    <mergeCell ref="A13:B15"/>
    <mergeCell ref="C13:J15"/>
    <mergeCell ref="A16:B18"/>
    <mergeCell ref="C16:J18"/>
    <mergeCell ref="A1:J2"/>
    <mergeCell ref="A3:J3"/>
    <mergeCell ref="A5:J5"/>
    <mergeCell ref="A6:B7"/>
    <mergeCell ref="C6:J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workbookViewId="0"/>
  </sheetViews>
  <sheetFormatPr defaultRowHeight="14"/>
  <cols>
    <col min="1" max="2" width="24" customWidth="1"/>
    <col min="3" max="3" width="27" customWidth="1"/>
    <col min="4" max="4" width="62" customWidth="1"/>
    <col min="5" max="5" width="23" customWidth="1"/>
    <col min="6" max="6" width="15" customWidth="1"/>
    <col min="7" max="7" width="58" customWidth="1"/>
    <col min="8" max="8" width="31" customWidth="1"/>
  </cols>
  <sheetData>
    <row r="1" spans="1:8" ht="27" customHeight="1">
      <c r="A1" s="37" t="s">
        <v>134</v>
      </c>
      <c r="B1" s="38"/>
      <c r="C1" s="38"/>
      <c r="D1" s="38"/>
      <c r="E1" s="38"/>
      <c r="F1" s="38"/>
      <c r="G1" s="38"/>
      <c r="H1" s="38"/>
    </row>
    <row r="2" spans="1:8" ht="27" customHeight="1">
      <c r="A2" s="38"/>
      <c r="B2" s="38"/>
      <c r="C2" s="38"/>
      <c r="D2" s="38"/>
      <c r="E2" s="38"/>
      <c r="F2" s="38"/>
      <c r="G2" s="38"/>
      <c r="H2" s="38"/>
    </row>
    <row r="3" spans="1:8" ht="30" customHeight="1">
      <c r="A3" s="39" t="s">
        <v>135</v>
      </c>
      <c r="B3" s="39"/>
      <c r="C3" s="39"/>
      <c r="D3" s="39"/>
      <c r="E3" s="39"/>
      <c r="F3" s="39"/>
      <c r="G3" s="39"/>
      <c r="H3" s="39"/>
    </row>
    <row r="4" spans="1:8" ht="14.5">
      <c r="A4" s="36"/>
      <c r="B4" s="36"/>
      <c r="C4" s="36"/>
      <c r="D4" s="36"/>
      <c r="E4" s="36"/>
      <c r="F4" s="36"/>
      <c r="G4" s="36"/>
      <c r="H4" s="36"/>
    </row>
    <row r="5" spans="1:8" ht="34" customHeight="1">
      <c r="A5" s="1" t="s">
        <v>136</v>
      </c>
      <c r="B5" s="1" t="s">
        <v>13</v>
      </c>
      <c r="C5" s="36"/>
      <c r="D5" s="36"/>
      <c r="E5" s="36"/>
      <c r="F5" s="36"/>
      <c r="G5" s="36"/>
      <c r="H5" s="36"/>
    </row>
    <row r="6" spans="1:8" ht="14.5">
      <c r="A6" s="15" t="s">
        <v>24</v>
      </c>
      <c r="B6" s="17">
        <f>COUNTIF($B$21:$B$38,A6)</f>
        <v>8</v>
      </c>
      <c r="C6" s="36"/>
      <c r="D6" s="36"/>
      <c r="E6" s="36"/>
      <c r="F6" s="36"/>
      <c r="G6" s="36"/>
      <c r="H6" s="36"/>
    </row>
    <row r="7" spans="1:8" ht="14.5">
      <c r="A7" s="16" t="s">
        <v>26</v>
      </c>
      <c r="B7" s="18">
        <f>COUNTIF($B$21:$B$38,A7)</f>
        <v>7</v>
      </c>
      <c r="C7" s="36"/>
      <c r="D7" s="36"/>
      <c r="E7" s="36"/>
      <c r="F7" s="36"/>
      <c r="G7" s="36"/>
      <c r="H7" s="36"/>
    </row>
    <row r="8" spans="1:8" ht="14.5">
      <c r="A8" s="16" t="s">
        <v>28</v>
      </c>
      <c r="B8" s="18">
        <f>COUNTIF($B$21:$B$38,A8)</f>
        <v>2</v>
      </c>
      <c r="C8" s="36"/>
      <c r="D8" s="36"/>
      <c r="E8" s="36"/>
      <c r="F8" s="36"/>
      <c r="G8" s="36"/>
      <c r="H8" s="36"/>
    </row>
    <row r="9" spans="1:8" ht="14.5">
      <c r="A9" s="16" t="s">
        <v>29</v>
      </c>
      <c r="B9" s="18">
        <f>COUNTIF($B$21:$B$38,A9)</f>
        <v>1</v>
      </c>
      <c r="C9" s="36"/>
      <c r="D9" s="36"/>
      <c r="E9" s="36"/>
      <c r="F9" s="36"/>
      <c r="G9" s="36"/>
      <c r="H9" s="36"/>
    </row>
    <row r="10" spans="1:8" ht="14.5">
      <c r="A10" s="124" t="s">
        <v>137</v>
      </c>
      <c r="B10" s="124"/>
      <c r="C10" s="36"/>
      <c r="D10" s="36"/>
      <c r="E10" s="36"/>
      <c r="F10" s="36"/>
      <c r="G10" s="36"/>
      <c r="H10" s="36"/>
    </row>
    <row r="11" spans="1:8" ht="14.5">
      <c r="A11" s="124"/>
      <c r="B11" s="124"/>
      <c r="C11" s="36"/>
      <c r="D11" s="36"/>
      <c r="E11" s="36"/>
      <c r="F11" s="36"/>
      <c r="G11" s="36"/>
      <c r="H11" s="36"/>
    </row>
    <row r="12" spans="1:8" ht="14.5">
      <c r="A12" s="124"/>
      <c r="B12" s="124"/>
      <c r="C12" s="36"/>
      <c r="D12" s="36"/>
      <c r="E12" s="36"/>
      <c r="F12" s="36"/>
      <c r="G12" s="36"/>
      <c r="H12" s="36"/>
    </row>
    <row r="13" spans="1:8" ht="14.5">
      <c r="A13" s="125" t="s">
        <v>138</v>
      </c>
      <c r="B13" s="125"/>
      <c r="C13" s="36"/>
      <c r="D13" s="36"/>
      <c r="E13" s="36"/>
      <c r="F13" s="36"/>
      <c r="G13" s="36"/>
      <c r="H13" s="36"/>
    </row>
    <row r="14" spans="1:8" ht="14.5">
      <c r="A14" s="125"/>
      <c r="B14" s="125"/>
      <c r="C14" s="36"/>
      <c r="D14" s="36"/>
      <c r="E14" s="36"/>
      <c r="F14" s="36"/>
      <c r="G14" s="36"/>
      <c r="H14" s="36"/>
    </row>
    <row r="15" spans="1:8" ht="14.5">
      <c r="A15" s="125"/>
      <c r="B15" s="125"/>
      <c r="C15" s="36"/>
      <c r="D15" s="36"/>
      <c r="E15" s="36"/>
      <c r="F15" s="36"/>
      <c r="G15" s="36"/>
      <c r="H15" s="36"/>
    </row>
    <row r="16" spans="1:8" ht="14.5">
      <c r="A16" s="125"/>
      <c r="B16" s="125"/>
      <c r="C16" s="36"/>
      <c r="D16" s="36"/>
      <c r="E16" s="36"/>
      <c r="F16" s="36"/>
      <c r="G16" s="36"/>
      <c r="H16" s="36"/>
    </row>
    <row r="17" spans="1:8" ht="14.5">
      <c r="A17" s="36"/>
      <c r="B17" s="36"/>
      <c r="C17" s="36"/>
      <c r="D17" s="36"/>
      <c r="E17" s="36"/>
      <c r="F17" s="36"/>
      <c r="G17" s="36"/>
      <c r="H17" s="36"/>
    </row>
    <row r="18" spans="1:8">
      <c r="A18" s="126" t="s">
        <v>139</v>
      </c>
      <c r="B18" s="126"/>
      <c r="C18" s="126"/>
      <c r="D18" s="126"/>
      <c r="E18" s="126"/>
      <c r="F18" s="126"/>
      <c r="G18" s="126"/>
      <c r="H18" s="126"/>
    </row>
    <row r="19" spans="1:8" ht="14.5">
      <c r="A19" s="36"/>
      <c r="B19" s="36"/>
      <c r="C19" s="36"/>
      <c r="D19" s="36"/>
      <c r="E19" s="36"/>
      <c r="F19" s="36"/>
      <c r="G19" s="36"/>
      <c r="H19" s="36"/>
    </row>
    <row r="20" spans="1:8" ht="34" customHeight="1">
      <c r="A20" s="1" t="s">
        <v>35</v>
      </c>
      <c r="B20" s="1" t="s">
        <v>136</v>
      </c>
      <c r="C20" s="1" t="s">
        <v>140</v>
      </c>
      <c r="D20" s="1" t="s">
        <v>141</v>
      </c>
      <c r="E20" s="1" t="s">
        <v>142</v>
      </c>
      <c r="F20" s="1" t="s">
        <v>143</v>
      </c>
      <c r="G20" s="1" t="s">
        <v>144</v>
      </c>
      <c r="H20" s="1" t="s">
        <v>145</v>
      </c>
    </row>
    <row r="21" spans="1:8" ht="78" customHeight="1">
      <c r="A21" s="19" t="s">
        <v>146</v>
      </c>
      <c r="B21" s="19" t="s">
        <v>24</v>
      </c>
      <c r="C21" s="19" t="s">
        <v>147</v>
      </c>
      <c r="D21" s="2" t="s">
        <v>148</v>
      </c>
      <c r="E21" s="2" t="s">
        <v>149</v>
      </c>
      <c r="F21" s="2" t="s">
        <v>150</v>
      </c>
      <c r="G21" s="2" t="s">
        <v>151</v>
      </c>
      <c r="H21" s="2" t="s">
        <v>152</v>
      </c>
    </row>
    <row r="22" spans="1:8" ht="78" customHeight="1">
      <c r="A22" s="20" t="s">
        <v>54</v>
      </c>
      <c r="B22" s="20" t="s">
        <v>24</v>
      </c>
      <c r="C22" s="20" t="s">
        <v>153</v>
      </c>
      <c r="D22" s="3" t="s">
        <v>154</v>
      </c>
      <c r="E22" s="3" t="s">
        <v>10</v>
      </c>
      <c r="F22" s="3" t="s">
        <v>150</v>
      </c>
      <c r="G22" s="3" t="s">
        <v>155</v>
      </c>
      <c r="H22" s="3" t="s">
        <v>152</v>
      </c>
    </row>
    <row r="23" spans="1:8" ht="78" customHeight="1">
      <c r="A23" s="20" t="s">
        <v>156</v>
      </c>
      <c r="B23" s="20" t="s">
        <v>24</v>
      </c>
      <c r="C23" s="20" t="s">
        <v>157</v>
      </c>
      <c r="D23" s="3" t="s">
        <v>158</v>
      </c>
      <c r="E23" s="3" t="s">
        <v>149</v>
      </c>
      <c r="F23" s="3" t="s">
        <v>159</v>
      </c>
      <c r="G23" s="3" t="s">
        <v>160</v>
      </c>
      <c r="H23" s="3" t="s">
        <v>161</v>
      </c>
    </row>
    <row r="24" spans="1:8" ht="78" customHeight="1">
      <c r="A24" s="20" t="s">
        <v>162</v>
      </c>
      <c r="B24" s="20" t="s">
        <v>29</v>
      </c>
      <c r="C24" s="20" t="s">
        <v>163</v>
      </c>
      <c r="D24" s="3" t="s">
        <v>164</v>
      </c>
      <c r="E24" s="3" t="s">
        <v>149</v>
      </c>
      <c r="F24" s="3" t="s">
        <v>159</v>
      </c>
      <c r="G24" s="3" t="s">
        <v>165</v>
      </c>
      <c r="H24" s="3" t="s">
        <v>161</v>
      </c>
    </row>
    <row r="25" spans="1:8" ht="78" customHeight="1">
      <c r="A25" s="20" t="s">
        <v>166</v>
      </c>
      <c r="B25" s="20" t="s">
        <v>24</v>
      </c>
      <c r="C25" s="20" t="s">
        <v>167</v>
      </c>
      <c r="D25" s="3" t="s">
        <v>168</v>
      </c>
      <c r="E25" s="3" t="s">
        <v>149</v>
      </c>
      <c r="F25" s="3" t="s">
        <v>159</v>
      </c>
      <c r="G25" s="3" t="s">
        <v>151</v>
      </c>
      <c r="H25" s="3" t="s">
        <v>152</v>
      </c>
    </row>
    <row r="26" spans="1:8" ht="78" customHeight="1">
      <c r="A26" s="20" t="s">
        <v>169</v>
      </c>
      <c r="B26" s="20" t="s">
        <v>26</v>
      </c>
      <c r="C26" s="20" t="s">
        <v>170</v>
      </c>
      <c r="D26" s="3" t="s">
        <v>171</v>
      </c>
      <c r="E26" s="3" t="s">
        <v>149</v>
      </c>
      <c r="F26" s="3" t="s">
        <v>150</v>
      </c>
      <c r="G26" s="3" t="s">
        <v>151</v>
      </c>
      <c r="H26" s="3" t="s">
        <v>152</v>
      </c>
    </row>
    <row r="27" spans="1:8" ht="78" customHeight="1">
      <c r="A27" s="20" t="s">
        <v>172</v>
      </c>
      <c r="B27" s="20" t="s">
        <v>28</v>
      </c>
      <c r="C27" s="20" t="s">
        <v>173</v>
      </c>
      <c r="D27" s="3" t="s">
        <v>174</v>
      </c>
      <c r="E27" s="3" t="s">
        <v>149</v>
      </c>
      <c r="F27" s="3" t="s">
        <v>159</v>
      </c>
      <c r="G27" s="3" t="s">
        <v>151</v>
      </c>
      <c r="H27" s="3" t="s">
        <v>152</v>
      </c>
    </row>
    <row r="28" spans="1:8" ht="78" customHeight="1">
      <c r="A28" s="20" t="s">
        <v>175</v>
      </c>
      <c r="B28" s="20" t="s">
        <v>28</v>
      </c>
      <c r="C28" s="20" t="s">
        <v>176</v>
      </c>
      <c r="D28" s="3" t="s">
        <v>177</v>
      </c>
      <c r="E28" s="3" t="s">
        <v>149</v>
      </c>
      <c r="F28" s="3" t="s">
        <v>159</v>
      </c>
      <c r="G28" s="3" t="s">
        <v>151</v>
      </c>
      <c r="H28" s="3" t="s">
        <v>152</v>
      </c>
    </row>
    <row r="29" spans="1:8" ht="78" customHeight="1">
      <c r="A29" s="20" t="s">
        <v>178</v>
      </c>
      <c r="B29" s="20" t="s">
        <v>24</v>
      </c>
      <c r="C29" s="20" t="s">
        <v>179</v>
      </c>
      <c r="D29" s="3" t="s">
        <v>180</v>
      </c>
      <c r="E29" s="3" t="s">
        <v>181</v>
      </c>
      <c r="F29" s="3" t="s">
        <v>159</v>
      </c>
      <c r="G29" s="3" t="s">
        <v>182</v>
      </c>
      <c r="H29" s="3" t="s">
        <v>183</v>
      </c>
    </row>
    <row r="30" spans="1:8" ht="78" customHeight="1">
      <c r="A30" s="20" t="s">
        <v>184</v>
      </c>
      <c r="B30" s="20" t="s">
        <v>26</v>
      </c>
      <c r="C30" s="20" t="s">
        <v>185</v>
      </c>
      <c r="D30" s="3" t="s">
        <v>186</v>
      </c>
      <c r="E30" s="3" t="s">
        <v>149</v>
      </c>
      <c r="F30" s="3" t="s">
        <v>150</v>
      </c>
      <c r="G30" s="3" t="s">
        <v>151</v>
      </c>
      <c r="H30" s="3" t="s">
        <v>152</v>
      </c>
    </row>
    <row r="31" spans="1:8" ht="78" customHeight="1">
      <c r="A31" s="20" t="s">
        <v>187</v>
      </c>
      <c r="B31" s="20" t="s">
        <v>24</v>
      </c>
      <c r="C31" s="20" t="s">
        <v>188</v>
      </c>
      <c r="D31" s="3" t="s">
        <v>189</v>
      </c>
      <c r="E31" s="3" t="s">
        <v>149</v>
      </c>
      <c r="F31" s="3" t="s">
        <v>150</v>
      </c>
      <c r="G31" s="3" t="s">
        <v>151</v>
      </c>
      <c r="H31" s="3" t="s">
        <v>152</v>
      </c>
    </row>
    <row r="32" spans="1:8" ht="78" customHeight="1">
      <c r="A32" s="20" t="s">
        <v>190</v>
      </c>
      <c r="B32" s="20" t="s">
        <v>26</v>
      </c>
      <c r="C32" s="20" t="s">
        <v>191</v>
      </c>
      <c r="D32" s="3" t="s">
        <v>192</v>
      </c>
      <c r="E32" s="3" t="s">
        <v>149</v>
      </c>
      <c r="F32" s="3" t="s">
        <v>150</v>
      </c>
      <c r="G32" s="3" t="s">
        <v>193</v>
      </c>
      <c r="H32" s="3" t="s">
        <v>161</v>
      </c>
    </row>
    <row r="33" spans="1:8" ht="78" customHeight="1">
      <c r="A33" s="20" t="s">
        <v>194</v>
      </c>
      <c r="B33" s="20" t="s">
        <v>26</v>
      </c>
      <c r="C33" s="20" t="s">
        <v>195</v>
      </c>
      <c r="D33" s="3" t="s">
        <v>196</v>
      </c>
      <c r="E33" s="3" t="s">
        <v>149</v>
      </c>
      <c r="F33" s="3" t="s">
        <v>150</v>
      </c>
      <c r="G33" s="3" t="s">
        <v>197</v>
      </c>
      <c r="H33" s="3" t="s">
        <v>161</v>
      </c>
    </row>
    <row r="34" spans="1:8" ht="78" customHeight="1">
      <c r="A34" s="20" t="s">
        <v>198</v>
      </c>
      <c r="B34" s="20" t="s">
        <v>26</v>
      </c>
      <c r="C34" s="20" t="s">
        <v>199</v>
      </c>
      <c r="D34" s="3" t="s">
        <v>200</v>
      </c>
      <c r="E34" s="3" t="s">
        <v>149</v>
      </c>
      <c r="F34" s="3" t="s">
        <v>159</v>
      </c>
      <c r="G34" s="3" t="s">
        <v>151</v>
      </c>
      <c r="H34" s="3" t="s">
        <v>152</v>
      </c>
    </row>
    <row r="35" spans="1:8" ht="78" customHeight="1">
      <c r="A35" s="20" t="s">
        <v>201</v>
      </c>
      <c r="B35" s="20" t="s">
        <v>26</v>
      </c>
      <c r="C35" s="20" t="s">
        <v>202</v>
      </c>
      <c r="D35" s="3" t="s">
        <v>203</v>
      </c>
      <c r="E35" s="3" t="s">
        <v>149</v>
      </c>
      <c r="F35" s="3" t="s">
        <v>150</v>
      </c>
      <c r="G35" s="3" t="s">
        <v>151</v>
      </c>
      <c r="H35" s="3" t="s">
        <v>152</v>
      </c>
    </row>
    <row r="36" spans="1:8" ht="78" customHeight="1">
      <c r="A36" s="20" t="s">
        <v>204</v>
      </c>
      <c r="B36" s="20" t="s">
        <v>24</v>
      </c>
      <c r="C36" s="20" t="s">
        <v>205</v>
      </c>
      <c r="D36" s="3" t="s">
        <v>206</v>
      </c>
      <c r="E36" s="3" t="s">
        <v>149</v>
      </c>
      <c r="F36" s="3" t="s">
        <v>150</v>
      </c>
      <c r="G36" s="3" t="s">
        <v>151</v>
      </c>
      <c r="H36" s="3" t="s">
        <v>152</v>
      </c>
    </row>
    <row r="37" spans="1:8" ht="78" customHeight="1">
      <c r="A37" s="20" t="s">
        <v>207</v>
      </c>
      <c r="B37" s="20" t="s">
        <v>24</v>
      </c>
      <c r="C37" s="20" t="s">
        <v>208</v>
      </c>
      <c r="D37" s="3" t="s">
        <v>209</v>
      </c>
      <c r="E37" s="3" t="s">
        <v>181</v>
      </c>
      <c r="F37" s="3" t="s">
        <v>210</v>
      </c>
      <c r="G37" s="3" t="s">
        <v>211</v>
      </c>
      <c r="H37" s="3" t="s">
        <v>183</v>
      </c>
    </row>
    <row r="38" spans="1:8" ht="78" customHeight="1">
      <c r="A38" s="20" t="s">
        <v>212</v>
      </c>
      <c r="B38" s="20" t="s">
        <v>26</v>
      </c>
      <c r="C38" s="20" t="s">
        <v>213</v>
      </c>
      <c r="D38" s="3" t="s">
        <v>214</v>
      </c>
      <c r="E38" s="3" t="s">
        <v>149</v>
      </c>
      <c r="F38" s="3" t="s">
        <v>150</v>
      </c>
      <c r="G38" s="3" t="s">
        <v>215</v>
      </c>
      <c r="H38" s="3" t="s">
        <v>161</v>
      </c>
    </row>
  </sheetData>
  <mergeCells count="5">
    <mergeCell ref="A1:H2"/>
    <mergeCell ref="A3:H3"/>
    <mergeCell ref="A10:B12"/>
    <mergeCell ref="A13:B16"/>
    <mergeCell ref="A18:H18"/>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showGridLines="0" workbookViewId="0"/>
  </sheetViews>
  <sheetFormatPr defaultRowHeight="14"/>
  <cols>
    <col min="1" max="1" width="13" customWidth="1"/>
    <col min="2" max="2" width="25" customWidth="1"/>
    <col min="3" max="4" width="14" customWidth="1"/>
    <col min="5" max="5" width="68" customWidth="1"/>
    <col min="6" max="6" width="58" customWidth="1"/>
    <col min="7" max="8" width="12" customWidth="1"/>
  </cols>
  <sheetData>
    <row r="1" spans="1:8" ht="27" customHeight="1">
      <c r="A1" s="37" t="s">
        <v>216</v>
      </c>
      <c r="B1" s="38"/>
      <c r="C1" s="38"/>
      <c r="D1" s="38"/>
      <c r="E1" s="38"/>
      <c r="F1" s="38"/>
      <c r="G1" s="38"/>
      <c r="H1" s="38"/>
    </row>
    <row r="2" spans="1:8" ht="27" customHeight="1">
      <c r="A2" s="38"/>
      <c r="B2" s="38"/>
      <c r="C2" s="38"/>
      <c r="D2" s="38"/>
      <c r="E2" s="38"/>
      <c r="F2" s="38"/>
      <c r="G2" s="38"/>
      <c r="H2" s="38"/>
    </row>
    <row r="3" spans="1:8" ht="30" customHeight="1">
      <c r="A3" s="39" t="s">
        <v>217</v>
      </c>
      <c r="B3" s="39"/>
      <c r="C3" s="39"/>
      <c r="D3" s="39"/>
      <c r="E3" s="39"/>
      <c r="F3" s="39"/>
      <c r="G3" s="39"/>
      <c r="H3" s="39"/>
    </row>
    <row r="4" spans="1:8" ht="14.5">
      <c r="A4" s="36"/>
      <c r="B4" s="36"/>
      <c r="C4" s="36"/>
      <c r="D4" s="36"/>
      <c r="E4" s="36"/>
      <c r="F4" s="36"/>
      <c r="G4" s="36"/>
      <c r="H4" s="36"/>
    </row>
    <row r="5" spans="1:8" ht="14.5">
      <c r="A5" s="40" t="s">
        <v>218</v>
      </c>
      <c r="B5" s="127">
        <v>47</v>
      </c>
      <c r="C5" s="36"/>
      <c r="D5" s="36"/>
      <c r="E5" s="36"/>
      <c r="F5" s="36"/>
      <c r="G5" s="36"/>
      <c r="H5" s="36"/>
    </row>
    <row r="6" spans="1:8" ht="14.5">
      <c r="A6" s="40"/>
      <c r="B6" s="128"/>
      <c r="C6" s="36"/>
      <c r="D6" s="36"/>
      <c r="E6" s="36"/>
      <c r="F6" s="36"/>
      <c r="G6" s="36"/>
      <c r="H6" s="36"/>
    </row>
    <row r="7" spans="1:8" ht="14.5">
      <c r="A7" s="60" t="s">
        <v>219</v>
      </c>
      <c r="B7" s="129">
        <v>46</v>
      </c>
      <c r="C7" s="36"/>
      <c r="D7" s="36"/>
      <c r="E7" s="36"/>
      <c r="F7" s="36"/>
      <c r="G7" s="36"/>
      <c r="H7" s="36"/>
    </row>
    <row r="8" spans="1:8" ht="14.5">
      <c r="A8" s="60"/>
      <c r="B8" s="130"/>
      <c r="C8" s="36"/>
      <c r="D8" s="36"/>
      <c r="E8" s="36"/>
      <c r="F8" s="36"/>
      <c r="G8" s="36"/>
      <c r="H8" s="36"/>
    </row>
    <row r="9" spans="1:8" ht="14.5">
      <c r="A9" s="70" t="s">
        <v>220</v>
      </c>
      <c r="B9" s="131">
        <v>1</v>
      </c>
      <c r="C9" s="36"/>
      <c r="D9" s="36"/>
      <c r="E9" s="36"/>
      <c r="F9" s="36"/>
      <c r="G9" s="36"/>
      <c r="H9" s="36"/>
    </row>
    <row r="10" spans="1:8" ht="14.5">
      <c r="A10" s="70"/>
      <c r="B10" s="132"/>
      <c r="C10" s="36"/>
      <c r="D10" s="36"/>
      <c r="E10" s="36"/>
      <c r="F10" s="36"/>
      <c r="G10" s="36"/>
      <c r="H10" s="36"/>
    </row>
    <row r="11" spans="1:8" ht="14.5">
      <c r="A11" s="113" t="s">
        <v>221</v>
      </c>
      <c r="B11" s="133">
        <v>5</v>
      </c>
      <c r="C11" s="36"/>
      <c r="D11" s="36"/>
      <c r="E11" s="36"/>
      <c r="F11" s="36"/>
      <c r="G11" s="36"/>
      <c r="H11" s="36"/>
    </row>
    <row r="12" spans="1:8" ht="14.5">
      <c r="A12" s="113"/>
      <c r="B12" s="134"/>
      <c r="C12" s="36"/>
      <c r="D12" s="36"/>
      <c r="E12" s="36"/>
      <c r="F12" s="36"/>
      <c r="G12" s="36"/>
      <c r="H12" s="36"/>
    </row>
    <row r="13" spans="1:8" ht="14.5">
      <c r="A13" s="36"/>
      <c r="B13" s="36"/>
      <c r="C13" s="36"/>
      <c r="D13" s="36"/>
      <c r="E13" s="36"/>
      <c r="F13" s="36"/>
      <c r="G13" s="36"/>
      <c r="H13" s="36"/>
    </row>
    <row r="14" spans="1:8" ht="34" customHeight="1">
      <c r="A14" s="1" t="s">
        <v>222</v>
      </c>
      <c r="B14" s="1" t="s">
        <v>223</v>
      </c>
      <c r="C14" s="36"/>
      <c r="D14" s="36"/>
      <c r="E14" s="36"/>
      <c r="F14" s="36"/>
      <c r="G14" s="36"/>
      <c r="H14" s="36"/>
    </row>
    <row r="15" spans="1:8" ht="14.5">
      <c r="A15" s="15" t="s">
        <v>48</v>
      </c>
      <c r="B15" s="15">
        <f>B7</f>
        <v>46</v>
      </c>
      <c r="C15" s="36"/>
      <c r="D15" s="36"/>
      <c r="E15" s="36"/>
      <c r="F15" s="36"/>
      <c r="G15" s="36"/>
      <c r="H15" s="36"/>
    </row>
    <row r="16" spans="1:8" ht="14.5">
      <c r="A16" s="16" t="s">
        <v>224</v>
      </c>
      <c r="B16" s="16">
        <f>B9</f>
        <v>1</v>
      </c>
      <c r="C16" s="36"/>
      <c r="D16" s="36"/>
      <c r="E16" s="36"/>
      <c r="F16" s="36"/>
      <c r="G16" s="36"/>
      <c r="H16" s="36"/>
    </row>
    <row r="17" spans="1:8" ht="14.5">
      <c r="A17" s="36"/>
      <c r="B17" s="36"/>
      <c r="C17" s="36"/>
      <c r="D17" s="36"/>
      <c r="E17" s="36"/>
      <c r="F17" s="36"/>
      <c r="G17" s="36"/>
      <c r="H17" s="36"/>
    </row>
    <row r="18" spans="1:8" ht="14.5">
      <c r="A18" s="36"/>
      <c r="B18" s="36"/>
      <c r="C18" s="36"/>
      <c r="D18" s="36"/>
      <c r="E18" s="36"/>
      <c r="F18" s="36"/>
      <c r="G18" s="36"/>
      <c r="H18" s="36"/>
    </row>
    <row r="19" spans="1:8" ht="14.5">
      <c r="A19" s="36"/>
      <c r="B19" s="36"/>
      <c r="C19" s="36"/>
      <c r="D19" s="36"/>
      <c r="E19" s="36"/>
      <c r="F19" s="36"/>
      <c r="G19" s="36"/>
      <c r="H19" s="36"/>
    </row>
    <row r="20" spans="1:8" ht="14.5">
      <c r="A20" s="36"/>
      <c r="B20" s="36"/>
      <c r="C20" s="36"/>
      <c r="D20" s="36"/>
      <c r="E20" s="36"/>
      <c r="F20" s="36"/>
      <c r="G20" s="36"/>
      <c r="H20" s="36"/>
    </row>
    <row r="21" spans="1:8" ht="14.5">
      <c r="A21" s="135" t="s">
        <v>225</v>
      </c>
      <c r="B21" s="135"/>
      <c r="C21" s="135"/>
      <c r="D21" s="135"/>
      <c r="E21" s="135"/>
      <c r="F21" s="135"/>
      <c r="G21" s="135"/>
      <c r="H21" s="135"/>
    </row>
    <row r="22" spans="1:8" ht="34" customHeight="1">
      <c r="A22" s="1" t="s">
        <v>35</v>
      </c>
      <c r="B22" s="1" t="s">
        <v>226</v>
      </c>
      <c r="C22" s="1" t="s">
        <v>227</v>
      </c>
      <c r="D22" s="1" t="s">
        <v>228</v>
      </c>
      <c r="E22" s="1" t="s">
        <v>229</v>
      </c>
      <c r="F22" s="1" t="s">
        <v>230</v>
      </c>
      <c r="G22" s="36"/>
      <c r="H22" s="36"/>
    </row>
    <row r="23" spans="1:8" ht="58" customHeight="1">
      <c r="A23" s="21" t="s">
        <v>66</v>
      </c>
      <c r="B23" s="21" t="s">
        <v>231</v>
      </c>
      <c r="C23" s="21" t="s">
        <v>224</v>
      </c>
      <c r="D23" s="21" t="s">
        <v>159</v>
      </c>
      <c r="E23" s="21" t="s">
        <v>232</v>
      </c>
      <c r="F23" s="21" t="s">
        <v>233</v>
      </c>
      <c r="G23" s="36"/>
      <c r="H23" s="36"/>
    </row>
    <row r="24" spans="1:8" ht="58" customHeight="1">
      <c r="A24" s="20" t="s">
        <v>190</v>
      </c>
      <c r="B24" s="20" t="s">
        <v>234</v>
      </c>
      <c r="C24" s="20" t="s">
        <v>48</v>
      </c>
      <c r="D24" s="20" t="s">
        <v>150</v>
      </c>
      <c r="E24" s="20" t="s">
        <v>191</v>
      </c>
      <c r="F24" s="20" t="s">
        <v>235</v>
      </c>
      <c r="G24" s="36"/>
      <c r="H24" s="36"/>
    </row>
    <row r="25" spans="1:8" ht="58" customHeight="1">
      <c r="A25" s="20" t="s">
        <v>194</v>
      </c>
      <c r="B25" s="20" t="s">
        <v>234</v>
      </c>
      <c r="C25" s="20" t="s">
        <v>48</v>
      </c>
      <c r="D25" s="20" t="s">
        <v>150</v>
      </c>
      <c r="E25" s="20" t="s">
        <v>195</v>
      </c>
      <c r="F25" s="20" t="s">
        <v>235</v>
      </c>
      <c r="G25" s="36"/>
      <c r="H25" s="36"/>
    </row>
    <row r="26" spans="1:8" ht="58" customHeight="1">
      <c r="A26" s="20" t="s">
        <v>162</v>
      </c>
      <c r="B26" s="20" t="s">
        <v>234</v>
      </c>
      <c r="C26" s="20" t="s">
        <v>48</v>
      </c>
      <c r="D26" s="20" t="s">
        <v>150</v>
      </c>
      <c r="E26" s="20" t="s">
        <v>163</v>
      </c>
      <c r="F26" s="20" t="s">
        <v>235</v>
      </c>
      <c r="G26" s="36"/>
      <c r="H26" s="36"/>
    </row>
    <row r="27" spans="1:8" ht="58" customHeight="1">
      <c r="A27" s="20" t="s">
        <v>212</v>
      </c>
      <c r="B27" s="20" t="s">
        <v>234</v>
      </c>
      <c r="C27" s="20" t="s">
        <v>48</v>
      </c>
      <c r="D27" s="20" t="s">
        <v>150</v>
      </c>
      <c r="E27" s="20" t="s">
        <v>213</v>
      </c>
      <c r="F27" s="20" t="s">
        <v>235</v>
      </c>
      <c r="G27" s="36"/>
      <c r="H27" s="36"/>
    </row>
    <row r="28" spans="1:8" ht="58" customHeight="1">
      <c r="A28" s="20" t="s">
        <v>156</v>
      </c>
      <c r="B28" s="20" t="s">
        <v>234</v>
      </c>
      <c r="C28" s="20" t="s">
        <v>48</v>
      </c>
      <c r="D28" s="20" t="s">
        <v>150</v>
      </c>
      <c r="E28" s="20" t="s">
        <v>157</v>
      </c>
      <c r="F28" s="20" t="s">
        <v>235</v>
      </c>
      <c r="G28" s="36"/>
      <c r="H28" s="36"/>
    </row>
    <row r="29" spans="1:8" ht="58" customHeight="1">
      <c r="A29" s="22" t="s">
        <v>236</v>
      </c>
      <c r="B29" s="22" t="s">
        <v>237</v>
      </c>
      <c r="C29" s="22" t="s">
        <v>48</v>
      </c>
      <c r="D29" s="22" t="s">
        <v>150</v>
      </c>
      <c r="E29" s="22" t="s">
        <v>238</v>
      </c>
      <c r="F29" s="22" t="s">
        <v>239</v>
      </c>
      <c r="G29" s="36"/>
      <c r="H29" s="36"/>
    </row>
    <row r="30" spans="1:8" ht="58" customHeight="1">
      <c r="A30" s="22" t="s">
        <v>240</v>
      </c>
      <c r="B30" s="22" t="s">
        <v>237</v>
      </c>
      <c r="C30" s="22" t="s">
        <v>48</v>
      </c>
      <c r="D30" s="22" t="s">
        <v>150</v>
      </c>
      <c r="E30" s="22" t="s">
        <v>238</v>
      </c>
      <c r="F30" s="22" t="s">
        <v>239</v>
      </c>
      <c r="G30" s="36"/>
      <c r="H30" s="36"/>
    </row>
    <row r="31" spans="1:8" ht="14.5">
      <c r="A31" s="36"/>
      <c r="B31" s="36"/>
      <c r="C31" s="36"/>
      <c r="D31" s="36"/>
      <c r="E31" s="36"/>
      <c r="F31" s="36"/>
      <c r="G31" s="36"/>
      <c r="H31" s="36"/>
    </row>
    <row r="32" spans="1:8" ht="14.5">
      <c r="A32" s="36"/>
      <c r="B32" s="36"/>
      <c r="C32" s="36"/>
      <c r="D32" s="36"/>
      <c r="E32" s="36"/>
      <c r="F32" s="36"/>
      <c r="G32" s="36"/>
      <c r="H32" s="36"/>
    </row>
    <row r="33" spans="1:8">
      <c r="A33" s="136" t="s">
        <v>241</v>
      </c>
      <c r="B33" s="137"/>
      <c r="C33" s="137"/>
      <c r="D33" s="137"/>
      <c r="E33" s="137"/>
      <c r="F33" s="137"/>
      <c r="G33" s="137"/>
      <c r="H33" s="138"/>
    </row>
    <row r="34" spans="1:8">
      <c r="A34" s="139"/>
      <c r="B34" s="97"/>
      <c r="C34" s="97"/>
      <c r="D34" s="97"/>
      <c r="E34" s="97"/>
      <c r="F34" s="97"/>
      <c r="G34" s="97"/>
      <c r="H34" s="140"/>
    </row>
    <row r="35" spans="1:8">
      <c r="A35" s="139"/>
      <c r="B35" s="97"/>
      <c r="C35" s="97"/>
      <c r="D35" s="97"/>
      <c r="E35" s="97"/>
      <c r="F35" s="97"/>
      <c r="G35" s="97"/>
      <c r="H35" s="140"/>
    </row>
    <row r="36" spans="1:8">
      <c r="A36" s="141"/>
      <c r="B36" s="142"/>
      <c r="C36" s="142"/>
      <c r="D36" s="142"/>
      <c r="E36" s="142"/>
      <c r="F36" s="142"/>
      <c r="G36" s="142"/>
      <c r="H36" s="143"/>
    </row>
  </sheetData>
  <mergeCells count="12">
    <mergeCell ref="A33:H36"/>
    <mergeCell ref="A9:A10"/>
    <mergeCell ref="B9:B10"/>
    <mergeCell ref="A11:A12"/>
    <mergeCell ref="B11:B12"/>
    <mergeCell ref="A21:H21"/>
    <mergeCell ref="A1:H2"/>
    <mergeCell ref="A3:H3"/>
    <mergeCell ref="A5:A6"/>
    <mergeCell ref="B5:B6"/>
    <mergeCell ref="A7:A8"/>
    <mergeCell ref="B7:B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38"/>
  <sheetViews>
    <sheetView showGridLines="0" workbookViewId="0"/>
  </sheetViews>
  <sheetFormatPr defaultRowHeight="14"/>
  <cols>
    <col min="1" max="1" width="9" customWidth="1"/>
    <col min="2" max="2" width="12" customWidth="1"/>
    <col min="3" max="3" width="9" customWidth="1"/>
    <col min="4" max="4" width="25" customWidth="1"/>
    <col min="5" max="5" width="12" customWidth="1"/>
    <col min="6" max="6" width="11" customWidth="1"/>
    <col min="7" max="7" width="15" customWidth="1"/>
    <col min="8" max="9" width="54" customWidth="1"/>
    <col min="10" max="10" width="11" customWidth="1"/>
    <col min="11" max="11" width="12" customWidth="1"/>
    <col min="12" max="12" width="24" customWidth="1"/>
    <col min="13" max="13" width="48" customWidth="1"/>
    <col min="14" max="14" width="11" customWidth="1"/>
    <col min="15" max="16" width="21" customWidth="1"/>
    <col min="17" max="17" width="68" customWidth="1"/>
    <col min="18" max="18" width="55" customWidth="1"/>
  </cols>
  <sheetData>
    <row r="1" spans="1:18" ht="27" customHeight="1">
      <c r="A1" s="37" t="s">
        <v>242</v>
      </c>
      <c r="B1" s="38"/>
      <c r="C1" s="38"/>
      <c r="D1" s="38"/>
      <c r="E1" s="38"/>
      <c r="F1" s="38"/>
      <c r="G1" s="38"/>
      <c r="H1" s="38"/>
      <c r="I1" s="38"/>
      <c r="J1" s="38"/>
      <c r="K1" s="38"/>
      <c r="L1" s="38"/>
      <c r="M1" s="38"/>
      <c r="N1" s="38"/>
      <c r="O1" s="38"/>
      <c r="P1" s="38"/>
      <c r="Q1" s="38"/>
      <c r="R1" s="38"/>
    </row>
    <row r="2" spans="1:18" ht="27" customHeight="1">
      <c r="A2" s="38"/>
      <c r="B2" s="38"/>
      <c r="C2" s="38"/>
      <c r="D2" s="38"/>
      <c r="E2" s="38"/>
      <c r="F2" s="38"/>
      <c r="G2" s="38"/>
      <c r="H2" s="38"/>
      <c r="I2" s="38"/>
      <c r="J2" s="38"/>
      <c r="K2" s="38"/>
      <c r="L2" s="38"/>
      <c r="M2" s="38"/>
      <c r="N2" s="38"/>
      <c r="O2" s="38"/>
      <c r="P2" s="38"/>
      <c r="Q2" s="38"/>
      <c r="R2" s="38"/>
    </row>
    <row r="3" spans="1:18" ht="30" customHeight="1">
      <c r="A3" s="39" t="s">
        <v>243</v>
      </c>
      <c r="B3" s="39"/>
      <c r="C3" s="39"/>
      <c r="D3" s="39"/>
      <c r="E3" s="39"/>
      <c r="F3" s="39"/>
      <c r="G3" s="39"/>
      <c r="H3" s="39"/>
      <c r="I3" s="39"/>
      <c r="J3" s="39"/>
      <c r="K3" s="39"/>
      <c r="L3" s="39"/>
      <c r="M3" s="39"/>
      <c r="N3" s="39"/>
      <c r="O3" s="39"/>
      <c r="P3" s="39"/>
      <c r="Q3" s="39"/>
      <c r="R3" s="39"/>
    </row>
    <row r="4" spans="1:18" ht="14.5">
      <c r="A4" s="36"/>
      <c r="B4" s="36"/>
      <c r="C4" s="36"/>
      <c r="D4" s="36"/>
      <c r="E4" s="36"/>
      <c r="F4" s="36"/>
      <c r="G4" s="36"/>
      <c r="H4" s="36"/>
      <c r="I4" s="36"/>
      <c r="J4" s="36"/>
      <c r="K4" s="36"/>
      <c r="L4" s="36"/>
      <c r="M4" s="36"/>
      <c r="N4" s="36"/>
      <c r="O4" s="36"/>
      <c r="P4" s="36"/>
      <c r="Q4" s="36"/>
      <c r="R4" s="36"/>
    </row>
    <row r="5" spans="1:18" ht="34" customHeight="1">
      <c r="A5" s="1" t="s">
        <v>244</v>
      </c>
      <c r="B5" s="1" t="s">
        <v>35</v>
      </c>
      <c r="C5" s="1" t="s">
        <v>19</v>
      </c>
      <c r="D5" s="1" t="s">
        <v>245</v>
      </c>
      <c r="E5" s="1" t="s">
        <v>36</v>
      </c>
      <c r="F5" s="1" t="s">
        <v>246</v>
      </c>
      <c r="G5" s="1" t="s">
        <v>247</v>
      </c>
      <c r="H5" s="1" t="s">
        <v>37</v>
      </c>
      <c r="I5" s="1" t="s">
        <v>248</v>
      </c>
      <c r="J5" s="1" t="s">
        <v>38</v>
      </c>
      <c r="K5" s="1" t="s">
        <v>39</v>
      </c>
      <c r="L5" s="1" t="s">
        <v>249</v>
      </c>
      <c r="M5" s="1" t="s">
        <v>40</v>
      </c>
      <c r="N5" s="1" t="s">
        <v>250</v>
      </c>
      <c r="O5" s="1" t="s">
        <v>41</v>
      </c>
      <c r="P5" s="1" t="s">
        <v>42</v>
      </c>
      <c r="Q5" s="1" t="s">
        <v>78</v>
      </c>
      <c r="R5" s="1" t="s">
        <v>79</v>
      </c>
    </row>
    <row r="6" spans="1:18" ht="46" customHeight="1">
      <c r="A6" s="8">
        <v>1</v>
      </c>
      <c r="B6" s="4" t="s">
        <v>251</v>
      </c>
      <c r="C6" s="4" t="s">
        <v>23</v>
      </c>
      <c r="D6" s="4" t="s">
        <v>252</v>
      </c>
      <c r="E6" s="4" t="s">
        <v>14</v>
      </c>
      <c r="F6" s="4" t="s">
        <v>253</v>
      </c>
      <c r="G6" s="4"/>
      <c r="H6" s="2" t="s">
        <v>254</v>
      </c>
      <c r="I6" s="2" t="s">
        <v>255</v>
      </c>
      <c r="J6" s="4" t="s">
        <v>48</v>
      </c>
      <c r="K6" s="6">
        <v>0.27010000000000001</v>
      </c>
      <c r="L6" s="10" t="s">
        <v>7</v>
      </c>
      <c r="M6" s="10" t="s">
        <v>256</v>
      </c>
      <c r="N6" s="4" t="s">
        <v>257</v>
      </c>
      <c r="O6" s="4" t="s">
        <v>258</v>
      </c>
      <c r="P6" s="4" t="s">
        <v>258</v>
      </c>
      <c r="Q6" s="2" t="s">
        <v>259</v>
      </c>
      <c r="R6" s="2" t="s">
        <v>260</v>
      </c>
    </row>
    <row r="7" spans="1:18" ht="46" customHeight="1">
      <c r="A7" s="9">
        <v>2</v>
      </c>
      <c r="B7" s="5" t="s">
        <v>178</v>
      </c>
      <c r="C7" s="5" t="s">
        <v>23</v>
      </c>
      <c r="D7" s="5" t="s">
        <v>252</v>
      </c>
      <c r="E7" s="5" t="s">
        <v>14</v>
      </c>
      <c r="F7" s="5" t="s">
        <v>261</v>
      </c>
      <c r="G7" s="5"/>
      <c r="H7" s="3" t="s">
        <v>262</v>
      </c>
      <c r="I7" s="3" t="s">
        <v>263</v>
      </c>
      <c r="J7" s="5" t="s">
        <v>48</v>
      </c>
      <c r="K7" s="7">
        <v>1.5003</v>
      </c>
      <c r="L7" s="11" t="s">
        <v>7</v>
      </c>
      <c r="M7" s="11" t="s">
        <v>264</v>
      </c>
      <c r="N7" s="5" t="s">
        <v>257</v>
      </c>
      <c r="O7" s="5" t="s">
        <v>265</v>
      </c>
      <c r="P7" s="5" t="s">
        <v>265</v>
      </c>
      <c r="Q7" s="3" t="s">
        <v>266</v>
      </c>
      <c r="R7" s="3" t="s">
        <v>267</v>
      </c>
    </row>
    <row r="8" spans="1:18" ht="46" customHeight="1">
      <c r="A8" s="9">
        <v>3</v>
      </c>
      <c r="B8" s="5" t="s">
        <v>268</v>
      </c>
      <c r="C8" s="5" t="s">
        <v>23</v>
      </c>
      <c r="D8" s="5" t="s">
        <v>252</v>
      </c>
      <c r="E8" s="5" t="s">
        <v>14</v>
      </c>
      <c r="F8" s="5" t="s">
        <v>253</v>
      </c>
      <c r="G8" s="5"/>
      <c r="H8" s="3" t="s">
        <v>269</v>
      </c>
      <c r="I8" s="3" t="s">
        <v>270</v>
      </c>
      <c r="J8" s="5" t="s">
        <v>48</v>
      </c>
      <c r="K8" s="7">
        <v>9.4700000000000006E-2</v>
      </c>
      <c r="L8" s="11" t="s">
        <v>7</v>
      </c>
      <c r="M8" s="11" t="s">
        <v>256</v>
      </c>
      <c r="N8" s="5" t="s">
        <v>257</v>
      </c>
      <c r="O8" s="5" t="s">
        <v>271</v>
      </c>
      <c r="P8" s="5" t="s">
        <v>271</v>
      </c>
      <c r="Q8" s="3" t="s">
        <v>272</v>
      </c>
      <c r="R8" s="3" t="s">
        <v>260</v>
      </c>
    </row>
    <row r="9" spans="1:18" ht="46" customHeight="1">
      <c r="A9" s="9">
        <v>4</v>
      </c>
      <c r="B9" s="5" t="s">
        <v>273</v>
      </c>
      <c r="C9" s="5" t="s">
        <v>23</v>
      </c>
      <c r="D9" s="5" t="s">
        <v>252</v>
      </c>
      <c r="E9" s="5" t="s">
        <v>14</v>
      </c>
      <c r="F9" s="5" t="s">
        <v>274</v>
      </c>
      <c r="G9" s="5"/>
      <c r="H9" s="3" t="s">
        <v>275</v>
      </c>
      <c r="I9" s="3" t="s">
        <v>276</v>
      </c>
      <c r="J9" s="5" t="s">
        <v>48</v>
      </c>
      <c r="K9" s="7">
        <v>0.92169999999999996</v>
      </c>
      <c r="L9" s="11" t="s">
        <v>7</v>
      </c>
      <c r="M9" s="11" t="s">
        <v>264</v>
      </c>
      <c r="N9" s="5" t="s">
        <v>257</v>
      </c>
      <c r="O9" s="5" t="s">
        <v>277</v>
      </c>
      <c r="P9" s="5" t="s">
        <v>277</v>
      </c>
      <c r="Q9" s="3" t="s">
        <v>278</v>
      </c>
      <c r="R9" s="3" t="s">
        <v>267</v>
      </c>
    </row>
    <row r="10" spans="1:18" ht="46" customHeight="1">
      <c r="A10" s="9">
        <v>5</v>
      </c>
      <c r="B10" s="5" t="s">
        <v>279</v>
      </c>
      <c r="C10" s="5" t="s">
        <v>23</v>
      </c>
      <c r="D10" s="5" t="s">
        <v>252</v>
      </c>
      <c r="E10" s="5" t="s">
        <v>16</v>
      </c>
      <c r="F10" s="5" t="s">
        <v>253</v>
      </c>
      <c r="G10" s="5"/>
      <c r="H10" s="3" t="s">
        <v>280</v>
      </c>
      <c r="I10" s="3" t="s">
        <v>281</v>
      </c>
      <c r="J10" s="5" t="s">
        <v>48</v>
      </c>
      <c r="K10" s="7">
        <v>8.3476999999999997</v>
      </c>
      <c r="L10" s="11" t="s">
        <v>7</v>
      </c>
      <c r="M10" s="11" t="s">
        <v>256</v>
      </c>
      <c r="N10" s="5" t="s">
        <v>257</v>
      </c>
      <c r="O10" s="5" t="s">
        <v>282</v>
      </c>
      <c r="P10" s="5" t="s">
        <v>282</v>
      </c>
      <c r="Q10" s="3" t="s">
        <v>283</v>
      </c>
      <c r="R10" s="3" t="s">
        <v>260</v>
      </c>
    </row>
    <row r="11" spans="1:18" ht="46" customHeight="1">
      <c r="A11" s="9">
        <v>6</v>
      </c>
      <c r="B11" s="5" t="s">
        <v>284</v>
      </c>
      <c r="C11" s="5" t="s">
        <v>23</v>
      </c>
      <c r="D11" s="5" t="s">
        <v>252</v>
      </c>
      <c r="E11" s="5" t="s">
        <v>14</v>
      </c>
      <c r="F11" s="5" t="s">
        <v>253</v>
      </c>
      <c r="G11" s="5"/>
      <c r="H11" s="3" t="s">
        <v>285</v>
      </c>
      <c r="I11" s="3" t="s">
        <v>286</v>
      </c>
      <c r="J11" s="5" t="s">
        <v>48</v>
      </c>
      <c r="K11" s="7">
        <v>0.1226</v>
      </c>
      <c r="L11" s="11" t="s">
        <v>7</v>
      </c>
      <c r="M11" s="11" t="s">
        <v>256</v>
      </c>
      <c r="N11" s="5" t="s">
        <v>257</v>
      </c>
      <c r="O11" s="5" t="s">
        <v>287</v>
      </c>
      <c r="P11" s="5" t="s">
        <v>287</v>
      </c>
      <c r="Q11" s="3" t="s">
        <v>288</v>
      </c>
      <c r="R11" s="3" t="s">
        <v>260</v>
      </c>
    </row>
    <row r="12" spans="1:18" ht="46" customHeight="1">
      <c r="A12" s="9">
        <v>7</v>
      </c>
      <c r="B12" s="5" t="s">
        <v>289</v>
      </c>
      <c r="C12" s="5" t="s">
        <v>23</v>
      </c>
      <c r="D12" s="5" t="s">
        <v>252</v>
      </c>
      <c r="E12" s="5" t="s">
        <v>14</v>
      </c>
      <c r="F12" s="5" t="s">
        <v>253</v>
      </c>
      <c r="G12" s="5"/>
      <c r="H12" s="3" t="s">
        <v>290</v>
      </c>
      <c r="I12" s="3" t="s">
        <v>291</v>
      </c>
      <c r="J12" s="5" t="s">
        <v>48</v>
      </c>
      <c r="K12" s="7">
        <v>1.7500000000000002E-2</v>
      </c>
      <c r="L12" s="11" t="s">
        <v>7</v>
      </c>
      <c r="M12" s="11" t="s">
        <v>256</v>
      </c>
      <c r="N12" s="5" t="s">
        <v>257</v>
      </c>
      <c r="O12" s="5" t="s">
        <v>292</v>
      </c>
      <c r="P12" s="5" t="s">
        <v>292</v>
      </c>
      <c r="Q12" s="3" t="s">
        <v>293</v>
      </c>
      <c r="R12" s="3" t="s">
        <v>260</v>
      </c>
    </row>
    <row r="13" spans="1:18" ht="46" customHeight="1">
      <c r="A13" s="9">
        <v>8</v>
      </c>
      <c r="B13" s="5" t="s">
        <v>294</v>
      </c>
      <c r="C13" s="5" t="s">
        <v>23</v>
      </c>
      <c r="D13" s="5" t="s">
        <v>252</v>
      </c>
      <c r="E13" s="5" t="s">
        <v>14</v>
      </c>
      <c r="F13" s="5" t="s">
        <v>253</v>
      </c>
      <c r="G13" s="5"/>
      <c r="H13" s="3" t="s">
        <v>295</v>
      </c>
      <c r="I13" s="3" t="s">
        <v>296</v>
      </c>
      <c r="J13" s="5" t="s">
        <v>48</v>
      </c>
      <c r="K13" s="7">
        <v>1.8200000000000001E-2</v>
      </c>
      <c r="L13" s="11" t="s">
        <v>7</v>
      </c>
      <c r="M13" s="11" t="s">
        <v>256</v>
      </c>
      <c r="N13" s="5" t="s">
        <v>257</v>
      </c>
      <c r="O13" s="5" t="s">
        <v>297</v>
      </c>
      <c r="P13" s="5" t="s">
        <v>297</v>
      </c>
      <c r="Q13" s="3" t="s">
        <v>298</v>
      </c>
      <c r="R13" s="3" t="s">
        <v>260</v>
      </c>
    </row>
    <row r="14" spans="1:18" ht="46" customHeight="1">
      <c r="A14" s="9">
        <v>9</v>
      </c>
      <c r="B14" s="5" t="s">
        <v>184</v>
      </c>
      <c r="C14" s="5" t="s">
        <v>23</v>
      </c>
      <c r="D14" s="5" t="s">
        <v>252</v>
      </c>
      <c r="E14" s="5" t="s">
        <v>14</v>
      </c>
      <c r="F14" s="5" t="s">
        <v>261</v>
      </c>
      <c r="G14" s="5"/>
      <c r="H14" s="3" t="s">
        <v>299</v>
      </c>
      <c r="I14" s="3" t="s">
        <v>300</v>
      </c>
      <c r="J14" s="5" t="s">
        <v>48</v>
      </c>
      <c r="K14" s="7">
        <v>0.13189999999999999</v>
      </c>
      <c r="L14" s="11" t="s">
        <v>7</v>
      </c>
      <c r="M14" s="11" t="s">
        <v>256</v>
      </c>
      <c r="N14" s="5" t="s">
        <v>257</v>
      </c>
      <c r="O14" s="5" t="s">
        <v>301</v>
      </c>
      <c r="P14" s="5" t="s">
        <v>301</v>
      </c>
      <c r="Q14" s="3" t="s">
        <v>302</v>
      </c>
      <c r="R14" s="3" t="s">
        <v>260</v>
      </c>
    </row>
    <row r="15" spans="1:18" ht="46" customHeight="1">
      <c r="A15" s="9">
        <v>10</v>
      </c>
      <c r="B15" s="5" t="s">
        <v>303</v>
      </c>
      <c r="C15" s="5" t="s">
        <v>23</v>
      </c>
      <c r="D15" s="5" t="s">
        <v>252</v>
      </c>
      <c r="E15" s="5" t="s">
        <v>14</v>
      </c>
      <c r="F15" s="5" t="s">
        <v>253</v>
      </c>
      <c r="G15" s="5"/>
      <c r="H15" s="3" t="s">
        <v>304</v>
      </c>
      <c r="I15" s="3" t="s">
        <v>305</v>
      </c>
      <c r="J15" s="5" t="s">
        <v>48</v>
      </c>
      <c r="K15" s="7">
        <v>6.7000000000000002E-3</v>
      </c>
      <c r="L15" s="11" t="s">
        <v>7</v>
      </c>
      <c r="M15" s="11" t="s">
        <v>256</v>
      </c>
      <c r="N15" s="5" t="s">
        <v>257</v>
      </c>
      <c r="O15" s="5" t="s">
        <v>306</v>
      </c>
      <c r="P15" s="5" t="s">
        <v>306</v>
      </c>
      <c r="Q15" s="3" t="s">
        <v>307</v>
      </c>
      <c r="R15" s="3" t="s">
        <v>260</v>
      </c>
    </row>
    <row r="16" spans="1:18" ht="46" customHeight="1">
      <c r="A16" s="9">
        <v>11</v>
      </c>
      <c r="B16" s="5" t="s">
        <v>308</v>
      </c>
      <c r="C16" s="5" t="s">
        <v>23</v>
      </c>
      <c r="D16" s="5" t="s">
        <v>252</v>
      </c>
      <c r="E16" s="5" t="s">
        <v>14</v>
      </c>
      <c r="F16" s="5" t="s">
        <v>261</v>
      </c>
      <c r="G16" s="5"/>
      <c r="H16" s="3" t="s">
        <v>309</v>
      </c>
      <c r="I16" s="3" t="s">
        <v>310</v>
      </c>
      <c r="J16" s="5" t="s">
        <v>48</v>
      </c>
      <c r="K16" s="7">
        <v>4.7000000000000002E-3</v>
      </c>
      <c r="L16" s="11" t="s">
        <v>7</v>
      </c>
      <c r="M16" s="11" t="s">
        <v>256</v>
      </c>
      <c r="N16" s="5" t="s">
        <v>257</v>
      </c>
      <c r="O16" s="5" t="s">
        <v>311</v>
      </c>
      <c r="P16" s="5" t="s">
        <v>311</v>
      </c>
      <c r="Q16" s="3" t="s">
        <v>312</v>
      </c>
      <c r="R16" s="3" t="s">
        <v>260</v>
      </c>
    </row>
    <row r="17" spans="1:18" ht="46" customHeight="1">
      <c r="A17" s="9">
        <v>12</v>
      </c>
      <c r="B17" s="5" t="s">
        <v>313</v>
      </c>
      <c r="C17" s="5" t="s">
        <v>23</v>
      </c>
      <c r="D17" s="5" t="s">
        <v>252</v>
      </c>
      <c r="E17" s="5" t="s">
        <v>16</v>
      </c>
      <c r="F17" s="5" t="s">
        <v>253</v>
      </c>
      <c r="G17" s="5"/>
      <c r="H17" s="3" t="s">
        <v>314</v>
      </c>
      <c r="I17" s="3" t="s">
        <v>315</v>
      </c>
      <c r="J17" s="5" t="s">
        <v>48</v>
      </c>
      <c r="K17" s="7">
        <v>5.7299999999999997E-2</v>
      </c>
      <c r="L17" s="11" t="s">
        <v>7</v>
      </c>
      <c r="M17" s="11" t="s">
        <v>256</v>
      </c>
      <c r="N17" s="5" t="s">
        <v>257</v>
      </c>
      <c r="O17" s="5" t="s">
        <v>63</v>
      </c>
      <c r="P17" s="5" t="s">
        <v>63</v>
      </c>
      <c r="Q17" s="3" t="s">
        <v>316</v>
      </c>
      <c r="R17" s="3" t="s">
        <v>260</v>
      </c>
    </row>
    <row r="18" spans="1:18" ht="46" customHeight="1">
      <c r="A18" s="9">
        <v>13</v>
      </c>
      <c r="B18" s="5" t="s">
        <v>317</v>
      </c>
      <c r="C18" s="5" t="s">
        <v>23</v>
      </c>
      <c r="D18" s="5" t="s">
        <v>252</v>
      </c>
      <c r="E18" s="5" t="s">
        <v>16</v>
      </c>
      <c r="F18" s="5" t="s">
        <v>253</v>
      </c>
      <c r="G18" s="5"/>
      <c r="H18" s="3" t="s">
        <v>318</v>
      </c>
      <c r="I18" s="3" t="s">
        <v>319</v>
      </c>
      <c r="J18" s="5" t="s">
        <v>48</v>
      </c>
      <c r="K18" s="7">
        <v>1.3152999999999999</v>
      </c>
      <c r="L18" s="11" t="s">
        <v>7</v>
      </c>
      <c r="M18" s="11" t="s">
        <v>264</v>
      </c>
      <c r="N18" s="5" t="s">
        <v>257</v>
      </c>
      <c r="O18" s="5" t="s">
        <v>320</v>
      </c>
      <c r="P18" s="5" t="s">
        <v>320</v>
      </c>
      <c r="Q18" s="3" t="s">
        <v>321</v>
      </c>
      <c r="R18" s="3" t="s">
        <v>267</v>
      </c>
    </row>
    <row r="19" spans="1:18" ht="46" customHeight="1">
      <c r="A19" s="9">
        <v>14</v>
      </c>
      <c r="B19" s="5" t="s">
        <v>322</v>
      </c>
      <c r="C19" s="5" t="s">
        <v>23</v>
      </c>
      <c r="D19" s="5" t="s">
        <v>252</v>
      </c>
      <c r="E19" s="5" t="s">
        <v>14</v>
      </c>
      <c r="F19" s="5" t="s">
        <v>253</v>
      </c>
      <c r="G19" s="5"/>
      <c r="H19" s="3" t="s">
        <v>323</v>
      </c>
      <c r="I19" s="3" t="s">
        <v>324</v>
      </c>
      <c r="J19" s="5" t="s">
        <v>48</v>
      </c>
      <c r="K19" s="7">
        <v>6.8400000000000002E-2</v>
      </c>
      <c r="L19" s="11" t="s">
        <v>7</v>
      </c>
      <c r="M19" s="11" t="s">
        <v>264</v>
      </c>
      <c r="N19" s="5" t="s">
        <v>257</v>
      </c>
      <c r="O19" s="5" t="s">
        <v>325</v>
      </c>
      <c r="P19" s="5" t="s">
        <v>325</v>
      </c>
      <c r="Q19" s="3" t="s">
        <v>326</v>
      </c>
      <c r="R19" s="3" t="s">
        <v>267</v>
      </c>
    </row>
    <row r="20" spans="1:18" ht="46" customHeight="1">
      <c r="A20" s="9">
        <v>15</v>
      </c>
      <c r="B20" s="5" t="s">
        <v>327</v>
      </c>
      <c r="C20" s="5" t="s">
        <v>23</v>
      </c>
      <c r="D20" s="5" t="s">
        <v>252</v>
      </c>
      <c r="E20" s="5" t="s">
        <v>14</v>
      </c>
      <c r="F20" s="5" t="s">
        <v>253</v>
      </c>
      <c r="G20" s="5"/>
      <c r="H20" s="3" t="s">
        <v>328</v>
      </c>
      <c r="I20" s="3" t="s">
        <v>329</v>
      </c>
      <c r="J20" s="5" t="s">
        <v>48</v>
      </c>
      <c r="K20" s="7">
        <v>4.4999999999999997E-3</v>
      </c>
      <c r="L20" s="11" t="s">
        <v>7</v>
      </c>
      <c r="M20" s="11" t="s">
        <v>256</v>
      </c>
      <c r="N20" s="5" t="s">
        <v>257</v>
      </c>
      <c r="O20" s="5" t="s">
        <v>330</v>
      </c>
      <c r="P20" s="5" t="s">
        <v>330</v>
      </c>
      <c r="Q20" s="3" t="s">
        <v>331</v>
      </c>
      <c r="R20" s="3" t="s">
        <v>260</v>
      </c>
    </row>
    <row r="21" spans="1:18" ht="46" customHeight="1">
      <c r="A21" s="9">
        <v>16</v>
      </c>
      <c r="B21" s="5" t="s">
        <v>332</v>
      </c>
      <c r="C21" s="5" t="s">
        <v>23</v>
      </c>
      <c r="D21" s="5" t="s">
        <v>333</v>
      </c>
      <c r="E21" s="5" t="s">
        <v>14</v>
      </c>
      <c r="F21" s="5" t="s">
        <v>261</v>
      </c>
      <c r="G21" s="5"/>
      <c r="H21" s="3" t="s">
        <v>334</v>
      </c>
      <c r="I21" s="3" t="s">
        <v>335</v>
      </c>
      <c r="J21" s="5" t="s">
        <v>48</v>
      </c>
      <c r="K21" s="7">
        <v>0.92620000000000002</v>
      </c>
      <c r="L21" s="11" t="s">
        <v>7</v>
      </c>
      <c r="M21" s="11" t="s">
        <v>264</v>
      </c>
      <c r="N21" s="5" t="s">
        <v>257</v>
      </c>
      <c r="O21" s="5" t="s">
        <v>336</v>
      </c>
      <c r="P21" s="5" t="s">
        <v>336</v>
      </c>
      <c r="Q21" s="3" t="s">
        <v>337</v>
      </c>
      <c r="R21" s="3" t="s">
        <v>267</v>
      </c>
    </row>
    <row r="22" spans="1:18" ht="46" customHeight="1">
      <c r="A22" s="9">
        <v>17</v>
      </c>
      <c r="B22" s="5" t="s">
        <v>338</v>
      </c>
      <c r="C22" s="5" t="s">
        <v>23</v>
      </c>
      <c r="D22" s="5" t="s">
        <v>333</v>
      </c>
      <c r="E22" s="5" t="s">
        <v>14</v>
      </c>
      <c r="F22" s="5" t="s">
        <v>274</v>
      </c>
      <c r="G22" s="5"/>
      <c r="H22" s="3" t="s">
        <v>339</v>
      </c>
      <c r="I22" s="3" t="s">
        <v>340</v>
      </c>
      <c r="J22" s="5" t="s">
        <v>48</v>
      </c>
      <c r="K22" s="7">
        <v>1.6947000000000001</v>
      </c>
      <c r="L22" s="11" t="s">
        <v>7</v>
      </c>
      <c r="M22" s="11" t="s">
        <v>264</v>
      </c>
      <c r="N22" s="5" t="s">
        <v>257</v>
      </c>
      <c r="O22" s="5" t="s">
        <v>341</v>
      </c>
      <c r="P22" s="5" t="s">
        <v>341</v>
      </c>
      <c r="Q22" s="3" t="s">
        <v>342</v>
      </c>
      <c r="R22" s="3" t="s">
        <v>267</v>
      </c>
    </row>
    <row r="23" spans="1:18" ht="46" customHeight="1">
      <c r="A23" s="9">
        <v>18</v>
      </c>
      <c r="B23" s="5" t="s">
        <v>343</v>
      </c>
      <c r="C23" s="5" t="s">
        <v>23</v>
      </c>
      <c r="D23" s="5" t="s">
        <v>333</v>
      </c>
      <c r="E23" s="5" t="s">
        <v>14</v>
      </c>
      <c r="F23" s="5" t="s">
        <v>261</v>
      </c>
      <c r="G23" s="5"/>
      <c r="H23" s="3" t="s">
        <v>344</v>
      </c>
      <c r="I23" s="3" t="s">
        <v>345</v>
      </c>
      <c r="J23" s="5" t="s">
        <v>48</v>
      </c>
      <c r="K23" s="7">
        <v>0.47299999999999998</v>
      </c>
      <c r="L23" s="11" t="s">
        <v>7</v>
      </c>
      <c r="M23" s="11" t="s">
        <v>256</v>
      </c>
      <c r="N23" s="5" t="s">
        <v>257</v>
      </c>
      <c r="O23" s="5" t="s">
        <v>325</v>
      </c>
      <c r="P23" s="5" t="s">
        <v>325</v>
      </c>
      <c r="Q23" s="3" t="s">
        <v>346</v>
      </c>
      <c r="R23" s="3" t="s">
        <v>260</v>
      </c>
    </row>
    <row r="24" spans="1:18" ht="46" customHeight="1">
      <c r="A24" s="9">
        <v>19</v>
      </c>
      <c r="B24" s="5" t="s">
        <v>347</v>
      </c>
      <c r="C24" s="5" t="s">
        <v>23</v>
      </c>
      <c r="D24" s="5" t="s">
        <v>333</v>
      </c>
      <c r="E24" s="5" t="s">
        <v>16</v>
      </c>
      <c r="F24" s="5" t="s">
        <v>274</v>
      </c>
      <c r="G24" s="5"/>
      <c r="H24" s="3" t="s">
        <v>348</v>
      </c>
      <c r="I24" s="3" t="s">
        <v>349</v>
      </c>
      <c r="J24" s="5" t="s">
        <v>48</v>
      </c>
      <c r="K24" s="7">
        <v>6.7708000000000004</v>
      </c>
      <c r="L24" s="11" t="s">
        <v>7</v>
      </c>
      <c r="M24" s="11" t="s">
        <v>264</v>
      </c>
      <c r="N24" s="5" t="s">
        <v>257</v>
      </c>
      <c r="O24" s="5" t="s">
        <v>350</v>
      </c>
      <c r="P24" s="5" t="s">
        <v>350</v>
      </c>
      <c r="Q24" s="3" t="s">
        <v>351</v>
      </c>
      <c r="R24" s="3" t="s">
        <v>267</v>
      </c>
    </row>
    <row r="25" spans="1:18" ht="46" customHeight="1">
      <c r="A25" s="9">
        <v>20</v>
      </c>
      <c r="B25" s="5" t="s">
        <v>352</v>
      </c>
      <c r="C25" s="5" t="s">
        <v>23</v>
      </c>
      <c r="D25" s="5" t="s">
        <v>333</v>
      </c>
      <c r="E25" s="5" t="s">
        <v>14</v>
      </c>
      <c r="F25" s="5" t="s">
        <v>253</v>
      </c>
      <c r="G25" s="5"/>
      <c r="H25" s="3" t="s">
        <v>353</v>
      </c>
      <c r="I25" s="3" t="s">
        <v>354</v>
      </c>
      <c r="J25" s="5" t="s">
        <v>48</v>
      </c>
      <c r="K25" s="7">
        <v>9.4999999999999998E-3</v>
      </c>
      <c r="L25" s="11" t="s">
        <v>7</v>
      </c>
      <c r="M25" s="11" t="s">
        <v>256</v>
      </c>
      <c r="N25" s="5" t="s">
        <v>257</v>
      </c>
      <c r="O25" s="5" t="s">
        <v>355</v>
      </c>
      <c r="P25" s="5" t="s">
        <v>355</v>
      </c>
      <c r="Q25" s="3" t="s">
        <v>356</v>
      </c>
      <c r="R25" s="3" t="s">
        <v>260</v>
      </c>
    </row>
    <row r="26" spans="1:18" ht="46" customHeight="1">
      <c r="A26" s="9">
        <v>21</v>
      </c>
      <c r="B26" s="5" t="s">
        <v>357</v>
      </c>
      <c r="C26" s="5" t="s">
        <v>23</v>
      </c>
      <c r="D26" s="5" t="s">
        <v>333</v>
      </c>
      <c r="E26" s="5" t="s">
        <v>14</v>
      </c>
      <c r="F26" s="5" t="s">
        <v>261</v>
      </c>
      <c r="G26" s="5"/>
      <c r="H26" s="3" t="s">
        <v>358</v>
      </c>
      <c r="I26" s="3" t="s">
        <v>359</v>
      </c>
      <c r="J26" s="5" t="s">
        <v>48</v>
      </c>
      <c r="K26" s="7">
        <v>0.82320000000000004</v>
      </c>
      <c r="L26" s="11" t="s">
        <v>7</v>
      </c>
      <c r="M26" s="11" t="s">
        <v>256</v>
      </c>
      <c r="N26" s="5" t="s">
        <v>257</v>
      </c>
      <c r="O26" s="5" t="s">
        <v>360</v>
      </c>
      <c r="P26" s="5" t="s">
        <v>360</v>
      </c>
      <c r="Q26" s="3" t="s">
        <v>361</v>
      </c>
      <c r="R26" s="3" t="s">
        <v>260</v>
      </c>
    </row>
    <row r="27" spans="1:18" ht="46" customHeight="1">
      <c r="A27" s="9">
        <v>22</v>
      </c>
      <c r="B27" s="5" t="s">
        <v>362</v>
      </c>
      <c r="C27" s="5" t="s">
        <v>23</v>
      </c>
      <c r="D27" s="5" t="s">
        <v>333</v>
      </c>
      <c r="E27" s="5" t="s">
        <v>14</v>
      </c>
      <c r="F27" s="5" t="s">
        <v>253</v>
      </c>
      <c r="G27" s="5"/>
      <c r="H27" s="3" t="s">
        <v>363</v>
      </c>
      <c r="I27" s="3" t="s">
        <v>364</v>
      </c>
      <c r="J27" s="5" t="s">
        <v>48</v>
      </c>
      <c r="K27" s="7">
        <v>1.9E-2</v>
      </c>
      <c r="L27" s="11" t="s">
        <v>7</v>
      </c>
      <c r="M27" s="11" t="s">
        <v>256</v>
      </c>
      <c r="N27" s="5" t="s">
        <v>257</v>
      </c>
      <c r="O27" s="5" t="s">
        <v>355</v>
      </c>
      <c r="P27" s="5" t="s">
        <v>355</v>
      </c>
      <c r="Q27" s="3" t="s">
        <v>356</v>
      </c>
      <c r="R27" s="3" t="s">
        <v>260</v>
      </c>
    </row>
    <row r="28" spans="1:18" ht="46" customHeight="1">
      <c r="A28" s="9">
        <v>23</v>
      </c>
      <c r="B28" s="5" t="s">
        <v>365</v>
      </c>
      <c r="C28" s="5" t="s">
        <v>23</v>
      </c>
      <c r="D28" s="5" t="s">
        <v>333</v>
      </c>
      <c r="E28" s="5" t="s">
        <v>14</v>
      </c>
      <c r="F28" s="5" t="s">
        <v>274</v>
      </c>
      <c r="G28" s="5"/>
      <c r="H28" s="3" t="s">
        <v>366</v>
      </c>
      <c r="I28" s="3" t="s">
        <v>367</v>
      </c>
      <c r="J28" s="5" t="s">
        <v>48</v>
      </c>
      <c r="K28" s="7">
        <v>0.83909999999999996</v>
      </c>
      <c r="L28" s="11" t="s">
        <v>7</v>
      </c>
      <c r="M28" s="11" t="s">
        <v>256</v>
      </c>
      <c r="N28" s="5" t="s">
        <v>257</v>
      </c>
      <c r="O28" s="5" t="s">
        <v>336</v>
      </c>
      <c r="P28" s="5" t="s">
        <v>336</v>
      </c>
      <c r="Q28" s="3" t="s">
        <v>368</v>
      </c>
      <c r="R28" s="3" t="s">
        <v>260</v>
      </c>
    </row>
    <row r="29" spans="1:18" ht="46" customHeight="1">
      <c r="A29" s="9">
        <v>24</v>
      </c>
      <c r="B29" s="5" t="s">
        <v>187</v>
      </c>
      <c r="C29" s="5" t="s">
        <v>23</v>
      </c>
      <c r="D29" s="5" t="s">
        <v>333</v>
      </c>
      <c r="E29" s="5" t="s">
        <v>14</v>
      </c>
      <c r="F29" s="5" t="s">
        <v>253</v>
      </c>
      <c r="G29" s="5"/>
      <c r="H29" s="3" t="s">
        <v>369</v>
      </c>
      <c r="I29" s="3" t="s">
        <v>370</v>
      </c>
      <c r="J29" s="5" t="s">
        <v>48</v>
      </c>
      <c r="K29" s="7">
        <v>2.0299999999999999E-2</v>
      </c>
      <c r="L29" s="11" t="s">
        <v>7</v>
      </c>
      <c r="M29" s="11" t="s">
        <v>256</v>
      </c>
      <c r="N29" s="5" t="s">
        <v>257</v>
      </c>
      <c r="O29" s="5" t="s">
        <v>89</v>
      </c>
      <c r="P29" s="5" t="s">
        <v>89</v>
      </c>
      <c r="Q29" s="3" t="s">
        <v>371</v>
      </c>
      <c r="R29" s="3" t="s">
        <v>260</v>
      </c>
    </row>
    <row r="30" spans="1:18" ht="46" customHeight="1">
      <c r="A30" s="9">
        <v>25</v>
      </c>
      <c r="B30" s="5" t="s">
        <v>372</v>
      </c>
      <c r="C30" s="5" t="s">
        <v>23</v>
      </c>
      <c r="D30" s="5" t="s">
        <v>333</v>
      </c>
      <c r="E30" s="5" t="s">
        <v>14</v>
      </c>
      <c r="F30" s="5" t="s">
        <v>261</v>
      </c>
      <c r="G30" s="5"/>
      <c r="H30" s="3" t="s">
        <v>373</v>
      </c>
      <c r="I30" s="3" t="s">
        <v>374</v>
      </c>
      <c r="J30" s="5" t="s">
        <v>48</v>
      </c>
      <c r="K30" s="7">
        <v>4.0300000000000002E-2</v>
      </c>
      <c r="L30" s="11" t="s">
        <v>7</v>
      </c>
      <c r="M30" s="11" t="s">
        <v>256</v>
      </c>
      <c r="N30" s="5" t="s">
        <v>257</v>
      </c>
      <c r="O30" s="5" t="s">
        <v>375</v>
      </c>
      <c r="P30" s="5" t="s">
        <v>375</v>
      </c>
      <c r="Q30" s="3" t="s">
        <v>376</v>
      </c>
      <c r="R30" s="3" t="s">
        <v>260</v>
      </c>
    </row>
    <row r="31" spans="1:18" ht="46" customHeight="1">
      <c r="A31" s="9">
        <v>26</v>
      </c>
      <c r="B31" s="5" t="s">
        <v>377</v>
      </c>
      <c r="C31" s="5" t="s">
        <v>23</v>
      </c>
      <c r="D31" s="5" t="s">
        <v>333</v>
      </c>
      <c r="E31" s="5" t="s">
        <v>14</v>
      </c>
      <c r="F31" s="5" t="s">
        <v>274</v>
      </c>
      <c r="G31" s="5"/>
      <c r="H31" s="3" t="s">
        <v>378</v>
      </c>
      <c r="I31" s="3" t="s">
        <v>379</v>
      </c>
      <c r="J31" s="5" t="s">
        <v>48</v>
      </c>
      <c r="K31" s="7">
        <v>7.7399999999999997E-2</v>
      </c>
      <c r="L31" s="11" t="s">
        <v>7</v>
      </c>
      <c r="M31" s="11" t="s">
        <v>256</v>
      </c>
      <c r="N31" s="5" t="s">
        <v>257</v>
      </c>
      <c r="O31" s="5" t="s">
        <v>360</v>
      </c>
      <c r="P31" s="5" t="s">
        <v>360</v>
      </c>
      <c r="Q31" s="3" t="s">
        <v>361</v>
      </c>
      <c r="R31" s="3" t="s">
        <v>260</v>
      </c>
    </row>
    <row r="32" spans="1:18" ht="46" customHeight="1">
      <c r="A32" s="9">
        <v>27</v>
      </c>
      <c r="B32" s="5" t="s">
        <v>380</v>
      </c>
      <c r="C32" s="5" t="s">
        <v>23</v>
      </c>
      <c r="D32" s="5" t="s">
        <v>333</v>
      </c>
      <c r="E32" s="5" t="s">
        <v>14</v>
      </c>
      <c r="F32" s="5" t="s">
        <v>261</v>
      </c>
      <c r="G32" s="5"/>
      <c r="H32" s="3" t="s">
        <v>381</v>
      </c>
      <c r="I32" s="3" t="s">
        <v>382</v>
      </c>
      <c r="J32" s="5" t="s">
        <v>48</v>
      </c>
      <c r="K32" s="7">
        <v>0.63890000000000002</v>
      </c>
      <c r="L32" s="11" t="s">
        <v>7</v>
      </c>
      <c r="M32" s="11" t="s">
        <v>256</v>
      </c>
      <c r="N32" s="5" t="s">
        <v>257</v>
      </c>
      <c r="O32" s="5" t="s">
        <v>325</v>
      </c>
      <c r="P32" s="5" t="s">
        <v>325</v>
      </c>
      <c r="Q32" s="3" t="s">
        <v>346</v>
      </c>
      <c r="R32" s="3" t="s">
        <v>260</v>
      </c>
    </row>
    <row r="33" spans="1:18" ht="46" customHeight="1">
      <c r="A33" s="9">
        <v>28</v>
      </c>
      <c r="B33" s="5" t="s">
        <v>383</v>
      </c>
      <c r="C33" s="5" t="s">
        <v>23</v>
      </c>
      <c r="D33" s="5" t="s">
        <v>333</v>
      </c>
      <c r="E33" s="5" t="s">
        <v>16</v>
      </c>
      <c r="F33" s="5" t="s">
        <v>274</v>
      </c>
      <c r="G33" s="5"/>
      <c r="H33" s="3" t="s">
        <v>384</v>
      </c>
      <c r="I33" s="3" t="s">
        <v>385</v>
      </c>
      <c r="J33" s="5" t="s">
        <v>48</v>
      </c>
      <c r="K33" s="7">
        <v>9.3032000000000004</v>
      </c>
      <c r="L33" s="11" t="s">
        <v>7</v>
      </c>
      <c r="M33" s="11" t="s">
        <v>256</v>
      </c>
      <c r="N33" s="5" t="s">
        <v>257</v>
      </c>
      <c r="O33" s="5" t="s">
        <v>360</v>
      </c>
      <c r="P33" s="5" t="s">
        <v>360</v>
      </c>
      <c r="Q33" s="3" t="s">
        <v>361</v>
      </c>
      <c r="R33" s="3" t="s">
        <v>260</v>
      </c>
    </row>
    <row r="34" spans="1:18" ht="46" customHeight="1">
      <c r="A34" s="9">
        <v>29</v>
      </c>
      <c r="B34" s="5" t="s">
        <v>386</v>
      </c>
      <c r="C34" s="5" t="s">
        <v>23</v>
      </c>
      <c r="D34" s="5" t="s">
        <v>333</v>
      </c>
      <c r="E34" s="5" t="s">
        <v>14</v>
      </c>
      <c r="F34" s="5" t="s">
        <v>253</v>
      </c>
      <c r="G34" s="5"/>
      <c r="H34" s="3" t="s">
        <v>387</v>
      </c>
      <c r="I34" s="3" t="s">
        <v>388</v>
      </c>
      <c r="J34" s="5" t="s">
        <v>48</v>
      </c>
      <c r="K34" s="7">
        <v>0.77810000000000001</v>
      </c>
      <c r="L34" s="11" t="s">
        <v>7</v>
      </c>
      <c r="M34" s="11" t="s">
        <v>256</v>
      </c>
      <c r="N34" s="5" t="s">
        <v>257</v>
      </c>
      <c r="O34" s="5" t="s">
        <v>89</v>
      </c>
      <c r="P34" s="5" t="s">
        <v>89</v>
      </c>
      <c r="Q34" s="3" t="s">
        <v>371</v>
      </c>
      <c r="R34" s="3" t="s">
        <v>260</v>
      </c>
    </row>
    <row r="35" spans="1:18" ht="46" customHeight="1">
      <c r="A35" s="9">
        <v>30</v>
      </c>
      <c r="B35" s="5" t="s">
        <v>389</v>
      </c>
      <c r="C35" s="5" t="s">
        <v>23</v>
      </c>
      <c r="D35" s="5" t="s">
        <v>333</v>
      </c>
      <c r="E35" s="5" t="s">
        <v>14</v>
      </c>
      <c r="F35" s="5" t="s">
        <v>274</v>
      </c>
      <c r="G35" s="5"/>
      <c r="H35" s="3" t="s">
        <v>390</v>
      </c>
      <c r="I35" s="3" t="s">
        <v>391</v>
      </c>
      <c r="J35" s="5" t="s">
        <v>48</v>
      </c>
      <c r="K35" s="7">
        <v>2.7351000000000001</v>
      </c>
      <c r="L35" s="11" t="s">
        <v>7</v>
      </c>
      <c r="M35" s="11" t="s">
        <v>264</v>
      </c>
      <c r="N35" s="5" t="s">
        <v>257</v>
      </c>
      <c r="O35" s="5" t="s">
        <v>325</v>
      </c>
      <c r="P35" s="5" t="s">
        <v>325</v>
      </c>
      <c r="Q35" s="3" t="s">
        <v>326</v>
      </c>
      <c r="R35" s="3" t="s">
        <v>267</v>
      </c>
    </row>
    <row r="36" spans="1:18" ht="46" customHeight="1">
      <c r="A36" s="9">
        <v>31</v>
      </c>
      <c r="B36" s="5" t="s">
        <v>392</v>
      </c>
      <c r="C36" s="5" t="s">
        <v>23</v>
      </c>
      <c r="D36" s="5" t="s">
        <v>393</v>
      </c>
      <c r="E36" s="5" t="s">
        <v>15</v>
      </c>
      <c r="F36" s="5" t="s">
        <v>261</v>
      </c>
      <c r="G36" s="5"/>
      <c r="H36" s="3" t="s">
        <v>394</v>
      </c>
      <c r="I36" s="3" t="s">
        <v>395</v>
      </c>
      <c r="J36" s="5" t="s">
        <v>48</v>
      </c>
      <c r="K36" s="7">
        <v>3.8774999999999999</v>
      </c>
      <c r="L36" s="11" t="s">
        <v>7</v>
      </c>
      <c r="M36" s="11" t="s">
        <v>256</v>
      </c>
      <c r="N36" s="5" t="s">
        <v>257</v>
      </c>
      <c r="O36" s="5" t="s">
        <v>57</v>
      </c>
      <c r="P36" s="5" t="s">
        <v>57</v>
      </c>
      <c r="Q36" s="3" t="s">
        <v>396</v>
      </c>
      <c r="R36" s="3" t="s">
        <v>260</v>
      </c>
    </row>
    <row r="37" spans="1:18" ht="46" customHeight="1">
      <c r="A37" s="9">
        <v>32</v>
      </c>
      <c r="B37" s="5" t="s">
        <v>397</v>
      </c>
      <c r="C37" s="5" t="s">
        <v>23</v>
      </c>
      <c r="D37" s="5" t="s">
        <v>393</v>
      </c>
      <c r="E37" s="5" t="s">
        <v>15</v>
      </c>
      <c r="F37" s="5" t="s">
        <v>261</v>
      </c>
      <c r="G37" s="5"/>
      <c r="H37" s="3" t="s">
        <v>398</v>
      </c>
      <c r="I37" s="3" t="s">
        <v>399</v>
      </c>
      <c r="J37" s="5" t="s">
        <v>48</v>
      </c>
      <c r="K37" s="7">
        <v>3.3660999999999999</v>
      </c>
      <c r="L37" s="11" t="s">
        <v>7</v>
      </c>
      <c r="M37" s="11" t="s">
        <v>256</v>
      </c>
      <c r="N37" s="5" t="s">
        <v>257</v>
      </c>
      <c r="O37" s="5" t="s">
        <v>360</v>
      </c>
      <c r="P37" s="5" t="s">
        <v>360</v>
      </c>
      <c r="Q37" s="3" t="s">
        <v>361</v>
      </c>
      <c r="R37" s="3" t="s">
        <v>260</v>
      </c>
    </row>
    <row r="38" spans="1:18" ht="46" customHeight="1">
      <c r="A38" s="9">
        <v>33</v>
      </c>
      <c r="B38" s="5" t="s">
        <v>400</v>
      </c>
      <c r="C38" s="5" t="s">
        <v>23</v>
      </c>
      <c r="D38" s="5" t="s">
        <v>393</v>
      </c>
      <c r="E38" s="5" t="s">
        <v>15</v>
      </c>
      <c r="F38" s="5" t="s">
        <v>261</v>
      </c>
      <c r="G38" s="5"/>
      <c r="H38" s="3" t="s">
        <v>401</v>
      </c>
      <c r="I38" s="3" t="s">
        <v>402</v>
      </c>
      <c r="J38" s="5" t="s">
        <v>48</v>
      </c>
      <c r="K38" s="7">
        <v>15.3886</v>
      </c>
      <c r="L38" s="11" t="s">
        <v>7</v>
      </c>
      <c r="M38" s="11" t="s">
        <v>256</v>
      </c>
      <c r="N38" s="5" t="s">
        <v>257</v>
      </c>
      <c r="O38" s="5" t="s">
        <v>403</v>
      </c>
      <c r="P38" s="5" t="s">
        <v>403</v>
      </c>
      <c r="Q38" s="3" t="s">
        <v>404</v>
      </c>
      <c r="R38" s="3" t="s">
        <v>260</v>
      </c>
    </row>
    <row r="39" spans="1:18" ht="46" customHeight="1">
      <c r="A39" s="9">
        <v>34</v>
      </c>
      <c r="B39" s="5" t="s">
        <v>405</v>
      </c>
      <c r="C39" s="5" t="s">
        <v>23</v>
      </c>
      <c r="D39" s="5" t="s">
        <v>393</v>
      </c>
      <c r="E39" s="5" t="s">
        <v>15</v>
      </c>
      <c r="F39" s="5" t="s">
        <v>274</v>
      </c>
      <c r="G39" s="5"/>
      <c r="H39" s="3" t="s">
        <v>406</v>
      </c>
      <c r="I39" s="3" t="s">
        <v>407</v>
      </c>
      <c r="J39" s="5" t="s">
        <v>48</v>
      </c>
      <c r="K39" s="7">
        <v>26.331399999999999</v>
      </c>
      <c r="L39" s="11" t="s">
        <v>7</v>
      </c>
      <c r="M39" s="11" t="s">
        <v>256</v>
      </c>
      <c r="N39" s="5" t="s">
        <v>257</v>
      </c>
      <c r="O39" s="5" t="s">
        <v>57</v>
      </c>
      <c r="P39" s="5" t="s">
        <v>57</v>
      </c>
      <c r="Q39" s="3" t="s">
        <v>396</v>
      </c>
      <c r="R39" s="3" t="s">
        <v>260</v>
      </c>
    </row>
    <row r="40" spans="1:18" ht="46" customHeight="1">
      <c r="A40" s="9">
        <v>35</v>
      </c>
      <c r="B40" s="5" t="s">
        <v>408</v>
      </c>
      <c r="C40" s="5" t="s">
        <v>23</v>
      </c>
      <c r="D40" s="5" t="s">
        <v>393</v>
      </c>
      <c r="E40" s="5" t="s">
        <v>16</v>
      </c>
      <c r="F40" s="5" t="s">
        <v>253</v>
      </c>
      <c r="G40" s="5"/>
      <c r="H40" s="3" t="s">
        <v>409</v>
      </c>
      <c r="I40" s="3" t="s">
        <v>410</v>
      </c>
      <c r="J40" s="5" t="s">
        <v>48</v>
      </c>
      <c r="K40" s="7">
        <v>1.6789000000000001</v>
      </c>
      <c r="L40" s="11" t="s">
        <v>7</v>
      </c>
      <c r="M40" s="11" t="s">
        <v>256</v>
      </c>
      <c r="N40" s="5" t="s">
        <v>257</v>
      </c>
      <c r="O40" s="5" t="s">
        <v>57</v>
      </c>
      <c r="P40" s="5" t="s">
        <v>57</v>
      </c>
      <c r="Q40" s="3" t="s">
        <v>396</v>
      </c>
      <c r="R40" s="3" t="s">
        <v>260</v>
      </c>
    </row>
    <row r="41" spans="1:18" ht="46" customHeight="1">
      <c r="A41" s="9">
        <v>36</v>
      </c>
      <c r="B41" s="5" t="s">
        <v>411</v>
      </c>
      <c r="C41" s="5" t="s">
        <v>23</v>
      </c>
      <c r="D41" s="5" t="s">
        <v>393</v>
      </c>
      <c r="E41" s="5" t="s">
        <v>15</v>
      </c>
      <c r="F41" s="5" t="s">
        <v>261</v>
      </c>
      <c r="G41" s="5"/>
      <c r="H41" s="3" t="s">
        <v>412</v>
      </c>
      <c r="I41" s="3" t="s">
        <v>413</v>
      </c>
      <c r="J41" s="5" t="s">
        <v>48</v>
      </c>
      <c r="K41" s="7">
        <v>0.70779999999999998</v>
      </c>
      <c r="L41" s="11" t="s">
        <v>7</v>
      </c>
      <c r="M41" s="11" t="s">
        <v>256</v>
      </c>
      <c r="N41" s="5" t="s">
        <v>257</v>
      </c>
      <c r="O41" s="5" t="s">
        <v>292</v>
      </c>
      <c r="P41" s="5" t="s">
        <v>292</v>
      </c>
      <c r="Q41" s="3" t="s">
        <v>293</v>
      </c>
      <c r="R41" s="3" t="s">
        <v>260</v>
      </c>
    </row>
    <row r="42" spans="1:18" ht="46" customHeight="1">
      <c r="A42" s="9">
        <v>37</v>
      </c>
      <c r="B42" s="5" t="s">
        <v>414</v>
      </c>
      <c r="C42" s="5" t="s">
        <v>23</v>
      </c>
      <c r="D42" s="5" t="s">
        <v>393</v>
      </c>
      <c r="E42" s="5" t="s">
        <v>15</v>
      </c>
      <c r="F42" s="5" t="s">
        <v>261</v>
      </c>
      <c r="G42" s="5"/>
      <c r="H42" s="3" t="s">
        <v>415</v>
      </c>
      <c r="I42" s="3" t="s">
        <v>416</v>
      </c>
      <c r="J42" s="5" t="s">
        <v>48</v>
      </c>
      <c r="K42" s="7">
        <v>0.53149999999999997</v>
      </c>
      <c r="L42" s="11" t="s">
        <v>7</v>
      </c>
      <c r="M42" s="11" t="s">
        <v>256</v>
      </c>
      <c r="N42" s="5" t="s">
        <v>257</v>
      </c>
      <c r="O42" s="5" t="s">
        <v>360</v>
      </c>
      <c r="P42" s="5" t="s">
        <v>360</v>
      </c>
      <c r="Q42" s="3" t="s">
        <v>361</v>
      </c>
      <c r="R42" s="3" t="s">
        <v>260</v>
      </c>
    </row>
    <row r="43" spans="1:18" ht="46" customHeight="1">
      <c r="A43" s="9">
        <v>38</v>
      </c>
      <c r="B43" s="5" t="s">
        <v>417</v>
      </c>
      <c r="C43" s="5" t="s">
        <v>23</v>
      </c>
      <c r="D43" s="5" t="s">
        <v>393</v>
      </c>
      <c r="E43" s="5" t="s">
        <v>15</v>
      </c>
      <c r="F43" s="5" t="s">
        <v>261</v>
      </c>
      <c r="G43" s="5"/>
      <c r="H43" s="3" t="s">
        <v>418</v>
      </c>
      <c r="I43" s="3" t="s">
        <v>419</v>
      </c>
      <c r="J43" s="5" t="s">
        <v>48</v>
      </c>
      <c r="K43" s="7">
        <v>8.3160000000000007</v>
      </c>
      <c r="L43" s="11" t="s">
        <v>7</v>
      </c>
      <c r="M43" s="11" t="s">
        <v>256</v>
      </c>
      <c r="N43" s="5" t="s">
        <v>257</v>
      </c>
      <c r="O43" s="5" t="s">
        <v>403</v>
      </c>
      <c r="P43" s="5" t="s">
        <v>403</v>
      </c>
      <c r="Q43" s="3" t="s">
        <v>404</v>
      </c>
      <c r="R43" s="3" t="s">
        <v>260</v>
      </c>
    </row>
    <row r="44" spans="1:18" ht="46" customHeight="1">
      <c r="A44" s="9">
        <v>39</v>
      </c>
      <c r="B44" s="5" t="s">
        <v>420</v>
      </c>
      <c r="C44" s="5" t="s">
        <v>23</v>
      </c>
      <c r="D44" s="5" t="s">
        <v>393</v>
      </c>
      <c r="E44" s="5" t="s">
        <v>15</v>
      </c>
      <c r="F44" s="5" t="s">
        <v>274</v>
      </c>
      <c r="G44" s="5"/>
      <c r="H44" s="3" t="s">
        <v>421</v>
      </c>
      <c r="I44" s="3" t="s">
        <v>422</v>
      </c>
      <c r="J44" s="5" t="s">
        <v>48</v>
      </c>
      <c r="K44" s="7">
        <v>17.808199999999999</v>
      </c>
      <c r="L44" s="11" t="s">
        <v>7</v>
      </c>
      <c r="M44" s="11" t="s">
        <v>256</v>
      </c>
      <c r="N44" s="5" t="s">
        <v>257</v>
      </c>
      <c r="O44" s="5" t="s">
        <v>403</v>
      </c>
      <c r="P44" s="5" t="s">
        <v>403</v>
      </c>
      <c r="Q44" s="3" t="s">
        <v>404</v>
      </c>
      <c r="R44" s="3" t="s">
        <v>260</v>
      </c>
    </row>
    <row r="45" spans="1:18" ht="46" customHeight="1">
      <c r="A45" s="9">
        <v>40</v>
      </c>
      <c r="B45" s="5" t="s">
        <v>423</v>
      </c>
      <c r="C45" s="5" t="s">
        <v>23</v>
      </c>
      <c r="D45" s="5" t="s">
        <v>393</v>
      </c>
      <c r="E45" s="5" t="s">
        <v>16</v>
      </c>
      <c r="F45" s="5" t="s">
        <v>261</v>
      </c>
      <c r="G45" s="5"/>
      <c r="H45" s="3" t="s">
        <v>424</v>
      </c>
      <c r="I45" s="3" t="s">
        <v>425</v>
      </c>
      <c r="J45" s="5" t="s">
        <v>48</v>
      </c>
      <c r="K45" s="7">
        <v>3.5276999999999998</v>
      </c>
      <c r="L45" s="11" t="s">
        <v>7</v>
      </c>
      <c r="M45" s="11" t="s">
        <v>256</v>
      </c>
      <c r="N45" s="5" t="s">
        <v>257</v>
      </c>
      <c r="O45" s="5" t="s">
        <v>426</v>
      </c>
      <c r="P45" s="5" t="s">
        <v>426</v>
      </c>
      <c r="Q45" s="3" t="s">
        <v>427</v>
      </c>
      <c r="R45" s="3" t="s">
        <v>260</v>
      </c>
    </row>
    <row r="46" spans="1:18" ht="46" customHeight="1">
      <c r="A46" s="9">
        <v>41</v>
      </c>
      <c r="B46" s="5" t="s">
        <v>428</v>
      </c>
      <c r="C46" s="5" t="s">
        <v>23</v>
      </c>
      <c r="D46" s="5" t="s">
        <v>393</v>
      </c>
      <c r="E46" s="5" t="s">
        <v>15</v>
      </c>
      <c r="F46" s="5" t="s">
        <v>261</v>
      </c>
      <c r="G46" s="5"/>
      <c r="H46" s="3" t="s">
        <v>429</v>
      </c>
      <c r="I46" s="3" t="s">
        <v>430</v>
      </c>
      <c r="J46" s="5" t="s">
        <v>48</v>
      </c>
      <c r="K46" s="7">
        <v>17.173200000000001</v>
      </c>
      <c r="L46" s="11" t="s">
        <v>7</v>
      </c>
      <c r="M46" s="11" t="s">
        <v>256</v>
      </c>
      <c r="N46" s="5" t="s">
        <v>257</v>
      </c>
      <c r="O46" s="5" t="s">
        <v>50</v>
      </c>
      <c r="P46" s="5" t="s">
        <v>50</v>
      </c>
      <c r="Q46" s="3" t="s">
        <v>431</v>
      </c>
      <c r="R46" s="3" t="s">
        <v>260</v>
      </c>
    </row>
    <row r="47" spans="1:18" ht="46" customHeight="1">
      <c r="A47" s="9">
        <v>42</v>
      </c>
      <c r="B47" s="5" t="s">
        <v>432</v>
      </c>
      <c r="C47" s="5" t="s">
        <v>23</v>
      </c>
      <c r="D47" s="5" t="s">
        <v>393</v>
      </c>
      <c r="E47" s="5" t="s">
        <v>15</v>
      </c>
      <c r="F47" s="5" t="s">
        <v>274</v>
      </c>
      <c r="G47" s="5"/>
      <c r="H47" s="3" t="s">
        <v>433</v>
      </c>
      <c r="I47" s="3" t="s">
        <v>434</v>
      </c>
      <c r="J47" s="5" t="s">
        <v>48</v>
      </c>
      <c r="K47" s="7">
        <v>22.6937</v>
      </c>
      <c r="L47" s="11" t="s">
        <v>7</v>
      </c>
      <c r="M47" s="11" t="s">
        <v>256</v>
      </c>
      <c r="N47" s="5" t="s">
        <v>257</v>
      </c>
      <c r="O47" s="5" t="s">
        <v>50</v>
      </c>
      <c r="P47" s="5" t="s">
        <v>50</v>
      </c>
      <c r="Q47" s="3" t="s">
        <v>431</v>
      </c>
      <c r="R47" s="3" t="s">
        <v>260</v>
      </c>
    </row>
    <row r="48" spans="1:18" ht="46" customHeight="1">
      <c r="A48" s="9">
        <v>43</v>
      </c>
      <c r="B48" s="5" t="s">
        <v>435</v>
      </c>
      <c r="C48" s="5" t="s">
        <v>23</v>
      </c>
      <c r="D48" s="5" t="s">
        <v>393</v>
      </c>
      <c r="E48" s="5" t="s">
        <v>15</v>
      </c>
      <c r="F48" s="5" t="s">
        <v>274</v>
      </c>
      <c r="G48" s="5"/>
      <c r="H48" s="3" t="s">
        <v>436</v>
      </c>
      <c r="I48" s="3" t="s">
        <v>437</v>
      </c>
      <c r="J48" s="5" t="s">
        <v>48</v>
      </c>
      <c r="K48" s="7">
        <v>23.338799999999999</v>
      </c>
      <c r="L48" s="11" t="s">
        <v>7</v>
      </c>
      <c r="M48" s="11" t="s">
        <v>256</v>
      </c>
      <c r="N48" s="5" t="s">
        <v>257</v>
      </c>
      <c r="O48" s="5" t="s">
        <v>292</v>
      </c>
      <c r="P48" s="5" t="s">
        <v>292</v>
      </c>
      <c r="Q48" s="3" t="s">
        <v>293</v>
      </c>
      <c r="R48" s="3" t="s">
        <v>260</v>
      </c>
    </row>
    <row r="49" spans="1:18" ht="46" customHeight="1">
      <c r="A49" s="9">
        <v>44</v>
      </c>
      <c r="B49" s="5" t="s">
        <v>80</v>
      </c>
      <c r="C49" s="5" t="s">
        <v>23</v>
      </c>
      <c r="D49" s="5" t="s">
        <v>393</v>
      </c>
      <c r="E49" s="5" t="s">
        <v>16</v>
      </c>
      <c r="F49" s="5" t="s">
        <v>253</v>
      </c>
      <c r="G49" s="5"/>
      <c r="H49" s="3" t="s">
        <v>82</v>
      </c>
      <c r="I49" s="3" t="s">
        <v>438</v>
      </c>
      <c r="J49" s="5" t="s">
        <v>48</v>
      </c>
      <c r="K49" s="7">
        <v>7.4203999999999999</v>
      </c>
      <c r="L49" s="12" t="s">
        <v>81</v>
      </c>
      <c r="M49" s="12" t="s">
        <v>439</v>
      </c>
      <c r="N49" s="5" t="s">
        <v>257</v>
      </c>
      <c r="O49" s="5" t="s">
        <v>83</v>
      </c>
      <c r="P49" s="5" t="s">
        <v>84</v>
      </c>
      <c r="Q49" s="3" t="s">
        <v>85</v>
      </c>
      <c r="R49" s="3" t="s">
        <v>86</v>
      </c>
    </row>
    <row r="50" spans="1:18" ht="46" customHeight="1">
      <c r="A50" s="9">
        <v>45</v>
      </c>
      <c r="B50" s="5" t="s">
        <v>440</v>
      </c>
      <c r="C50" s="5" t="s">
        <v>23</v>
      </c>
      <c r="D50" s="5" t="s">
        <v>393</v>
      </c>
      <c r="E50" s="5" t="s">
        <v>16</v>
      </c>
      <c r="F50" s="5" t="s">
        <v>253</v>
      </c>
      <c r="G50" s="5"/>
      <c r="H50" s="3" t="s">
        <v>441</v>
      </c>
      <c r="I50" s="3" t="s">
        <v>442</v>
      </c>
      <c r="J50" s="5" t="s">
        <v>48</v>
      </c>
      <c r="K50" s="7">
        <v>7.3478000000000003</v>
      </c>
      <c r="L50" s="11" t="s">
        <v>7</v>
      </c>
      <c r="M50" s="11" t="s">
        <v>256</v>
      </c>
      <c r="N50" s="5" t="s">
        <v>257</v>
      </c>
      <c r="O50" s="5" t="s">
        <v>443</v>
      </c>
      <c r="P50" s="5" t="s">
        <v>443</v>
      </c>
      <c r="Q50" s="3" t="s">
        <v>444</v>
      </c>
      <c r="R50" s="3" t="s">
        <v>260</v>
      </c>
    </row>
    <row r="51" spans="1:18" ht="46" customHeight="1">
      <c r="A51" s="9">
        <v>46</v>
      </c>
      <c r="B51" s="5" t="s">
        <v>445</v>
      </c>
      <c r="C51" s="5" t="s">
        <v>23</v>
      </c>
      <c r="D51" s="5" t="s">
        <v>446</v>
      </c>
      <c r="E51" s="5" t="s">
        <v>16</v>
      </c>
      <c r="F51" s="5" t="s">
        <v>261</v>
      </c>
      <c r="G51" s="5"/>
      <c r="H51" s="3" t="s">
        <v>447</v>
      </c>
      <c r="I51" s="3" t="s">
        <v>448</v>
      </c>
      <c r="J51" s="5" t="s">
        <v>48</v>
      </c>
      <c r="K51" s="7">
        <v>9.5313999999999997</v>
      </c>
      <c r="L51" s="11" t="s">
        <v>7</v>
      </c>
      <c r="M51" s="11" t="s">
        <v>256</v>
      </c>
      <c r="N51" s="5" t="s">
        <v>257</v>
      </c>
      <c r="O51" s="5" t="s">
        <v>292</v>
      </c>
      <c r="P51" s="5" t="s">
        <v>292</v>
      </c>
      <c r="Q51" s="3" t="s">
        <v>293</v>
      </c>
      <c r="R51" s="3" t="s">
        <v>260</v>
      </c>
    </row>
    <row r="52" spans="1:18" ht="46" customHeight="1">
      <c r="A52" s="9">
        <v>47</v>
      </c>
      <c r="B52" s="5" t="s">
        <v>449</v>
      </c>
      <c r="C52" s="5" t="s">
        <v>23</v>
      </c>
      <c r="D52" s="5" t="s">
        <v>446</v>
      </c>
      <c r="E52" s="5" t="s">
        <v>14</v>
      </c>
      <c r="F52" s="5" t="s">
        <v>253</v>
      </c>
      <c r="G52" s="5"/>
      <c r="H52" s="3" t="s">
        <v>450</v>
      </c>
      <c r="I52" s="3" t="s">
        <v>451</v>
      </c>
      <c r="J52" s="5" t="s">
        <v>48</v>
      </c>
      <c r="K52" s="7">
        <v>0.34010000000000001</v>
      </c>
      <c r="L52" s="11" t="s">
        <v>7</v>
      </c>
      <c r="M52" s="11" t="s">
        <v>256</v>
      </c>
      <c r="N52" s="5" t="s">
        <v>257</v>
      </c>
      <c r="O52" s="5" t="s">
        <v>452</v>
      </c>
      <c r="P52" s="5" t="s">
        <v>452</v>
      </c>
      <c r="Q52" s="3" t="s">
        <v>453</v>
      </c>
      <c r="R52" s="3" t="s">
        <v>260</v>
      </c>
    </row>
    <row r="53" spans="1:18" ht="46" customHeight="1">
      <c r="A53" s="9">
        <v>48</v>
      </c>
      <c r="B53" s="5" t="s">
        <v>454</v>
      </c>
      <c r="C53" s="5" t="s">
        <v>23</v>
      </c>
      <c r="D53" s="5" t="s">
        <v>446</v>
      </c>
      <c r="E53" s="5" t="s">
        <v>16</v>
      </c>
      <c r="F53" s="5" t="s">
        <v>261</v>
      </c>
      <c r="G53" s="5"/>
      <c r="H53" s="3" t="s">
        <v>455</v>
      </c>
      <c r="I53" s="3" t="s">
        <v>456</v>
      </c>
      <c r="J53" s="5" t="s">
        <v>48</v>
      </c>
      <c r="K53" s="7">
        <v>11.5966</v>
      </c>
      <c r="L53" s="11" t="s">
        <v>7</v>
      </c>
      <c r="M53" s="11" t="s">
        <v>256</v>
      </c>
      <c r="N53" s="5" t="s">
        <v>257</v>
      </c>
      <c r="O53" s="5" t="s">
        <v>336</v>
      </c>
      <c r="P53" s="5" t="s">
        <v>336</v>
      </c>
      <c r="Q53" s="3" t="s">
        <v>368</v>
      </c>
      <c r="R53" s="3" t="s">
        <v>260</v>
      </c>
    </row>
    <row r="54" spans="1:18" ht="46" customHeight="1">
      <c r="A54" s="9">
        <v>49</v>
      </c>
      <c r="B54" s="5" t="s">
        <v>457</v>
      </c>
      <c r="C54" s="5" t="s">
        <v>23</v>
      </c>
      <c r="D54" s="5" t="s">
        <v>446</v>
      </c>
      <c r="E54" s="5" t="s">
        <v>14</v>
      </c>
      <c r="F54" s="5" t="s">
        <v>261</v>
      </c>
      <c r="G54" s="5"/>
      <c r="H54" s="3" t="s">
        <v>458</v>
      </c>
      <c r="I54" s="3" t="s">
        <v>459</v>
      </c>
      <c r="J54" s="5" t="s">
        <v>48</v>
      </c>
      <c r="K54" s="7">
        <v>0.16950000000000001</v>
      </c>
      <c r="L54" s="11" t="s">
        <v>7</v>
      </c>
      <c r="M54" s="11" t="s">
        <v>256</v>
      </c>
      <c r="N54" s="5" t="s">
        <v>257</v>
      </c>
      <c r="O54" s="5" t="s">
        <v>460</v>
      </c>
      <c r="P54" s="5" t="s">
        <v>460</v>
      </c>
      <c r="Q54" s="3" t="s">
        <v>461</v>
      </c>
      <c r="R54" s="3" t="s">
        <v>260</v>
      </c>
    </row>
    <row r="55" spans="1:18" ht="46" customHeight="1">
      <c r="A55" s="9">
        <v>50</v>
      </c>
      <c r="B55" s="5" t="s">
        <v>462</v>
      </c>
      <c r="C55" s="5" t="s">
        <v>23</v>
      </c>
      <c r="D55" s="5" t="s">
        <v>446</v>
      </c>
      <c r="E55" s="5" t="s">
        <v>16</v>
      </c>
      <c r="F55" s="5" t="s">
        <v>253</v>
      </c>
      <c r="G55" s="5"/>
      <c r="H55" s="3" t="s">
        <v>463</v>
      </c>
      <c r="I55" s="3" t="s">
        <v>464</v>
      </c>
      <c r="J55" s="5" t="s">
        <v>48</v>
      </c>
      <c r="K55" s="7">
        <v>2.64E-2</v>
      </c>
      <c r="L55" s="11" t="s">
        <v>7</v>
      </c>
      <c r="M55" s="11" t="s">
        <v>256</v>
      </c>
      <c r="N55" s="5" t="s">
        <v>257</v>
      </c>
      <c r="O55" s="5" t="s">
        <v>465</v>
      </c>
      <c r="P55" s="5" t="s">
        <v>465</v>
      </c>
      <c r="Q55" s="3" t="s">
        <v>466</v>
      </c>
      <c r="R55" s="3" t="s">
        <v>260</v>
      </c>
    </row>
    <row r="56" spans="1:18" ht="46" customHeight="1">
      <c r="A56" s="9">
        <v>51</v>
      </c>
      <c r="B56" s="5" t="s">
        <v>190</v>
      </c>
      <c r="C56" s="5" t="s">
        <v>23</v>
      </c>
      <c r="D56" s="5" t="s">
        <v>446</v>
      </c>
      <c r="E56" s="5" t="s">
        <v>14</v>
      </c>
      <c r="F56" s="5" t="s">
        <v>253</v>
      </c>
      <c r="G56" s="5"/>
      <c r="H56" s="3" t="s">
        <v>467</v>
      </c>
      <c r="I56" s="3" t="s">
        <v>468</v>
      </c>
      <c r="J56" s="5" t="s">
        <v>48</v>
      </c>
      <c r="K56" s="7">
        <v>0.48659999999999998</v>
      </c>
      <c r="L56" s="11" t="s">
        <v>7</v>
      </c>
      <c r="M56" s="11" t="s">
        <v>256</v>
      </c>
      <c r="N56" s="5" t="s">
        <v>257</v>
      </c>
      <c r="O56" s="5" t="s">
        <v>469</v>
      </c>
      <c r="P56" s="5" t="s">
        <v>469</v>
      </c>
      <c r="Q56" s="3" t="s">
        <v>470</v>
      </c>
      <c r="R56" s="3" t="s">
        <v>260</v>
      </c>
    </row>
    <row r="57" spans="1:18" ht="46" customHeight="1">
      <c r="A57" s="9">
        <v>52</v>
      </c>
      <c r="B57" s="5" t="s">
        <v>471</v>
      </c>
      <c r="C57" s="5" t="s">
        <v>23</v>
      </c>
      <c r="D57" s="5" t="s">
        <v>446</v>
      </c>
      <c r="E57" s="5" t="s">
        <v>16</v>
      </c>
      <c r="F57" s="5" t="s">
        <v>261</v>
      </c>
      <c r="G57" s="5"/>
      <c r="H57" s="3" t="s">
        <v>472</v>
      </c>
      <c r="I57" s="3" t="s">
        <v>473</v>
      </c>
      <c r="J57" s="5" t="s">
        <v>48</v>
      </c>
      <c r="K57" s="7">
        <v>8.2301000000000002</v>
      </c>
      <c r="L57" s="11" t="s">
        <v>7</v>
      </c>
      <c r="M57" s="11" t="s">
        <v>256</v>
      </c>
      <c r="N57" s="5" t="s">
        <v>257</v>
      </c>
      <c r="O57" s="5" t="s">
        <v>474</v>
      </c>
      <c r="P57" s="5" t="s">
        <v>474</v>
      </c>
      <c r="Q57" s="3" t="s">
        <v>475</v>
      </c>
      <c r="R57" s="3" t="s">
        <v>260</v>
      </c>
    </row>
    <row r="58" spans="1:18" ht="46" customHeight="1">
      <c r="A58" s="9">
        <v>53</v>
      </c>
      <c r="B58" s="5" t="s">
        <v>476</v>
      </c>
      <c r="C58" s="5" t="s">
        <v>23</v>
      </c>
      <c r="D58" s="5" t="s">
        <v>446</v>
      </c>
      <c r="E58" s="5" t="s">
        <v>16</v>
      </c>
      <c r="F58" s="5" t="s">
        <v>261</v>
      </c>
      <c r="G58" s="5"/>
      <c r="H58" s="3" t="s">
        <v>477</v>
      </c>
      <c r="I58" s="3" t="s">
        <v>478</v>
      </c>
      <c r="J58" s="5" t="s">
        <v>48</v>
      </c>
      <c r="K58" s="7">
        <v>4.8015999999999996</v>
      </c>
      <c r="L58" s="11" t="s">
        <v>7</v>
      </c>
      <c r="M58" s="11" t="s">
        <v>256</v>
      </c>
      <c r="N58" s="5" t="s">
        <v>257</v>
      </c>
      <c r="O58" s="5" t="s">
        <v>465</v>
      </c>
      <c r="P58" s="5" t="s">
        <v>465</v>
      </c>
      <c r="Q58" s="3" t="s">
        <v>466</v>
      </c>
      <c r="R58" s="3" t="s">
        <v>260</v>
      </c>
    </row>
    <row r="59" spans="1:18" ht="46" customHeight="1">
      <c r="A59" s="9">
        <v>54</v>
      </c>
      <c r="B59" s="5" t="s">
        <v>479</v>
      </c>
      <c r="C59" s="5" t="s">
        <v>23</v>
      </c>
      <c r="D59" s="5" t="s">
        <v>446</v>
      </c>
      <c r="E59" s="5" t="s">
        <v>14</v>
      </c>
      <c r="F59" s="5" t="s">
        <v>253</v>
      </c>
      <c r="G59" s="5"/>
      <c r="H59" s="3" t="s">
        <v>480</v>
      </c>
      <c r="I59" s="3" t="s">
        <v>481</v>
      </c>
      <c r="J59" s="5" t="s">
        <v>48</v>
      </c>
      <c r="K59" s="7">
        <v>0.123</v>
      </c>
      <c r="L59" s="11" t="s">
        <v>7</v>
      </c>
      <c r="M59" s="11" t="s">
        <v>256</v>
      </c>
      <c r="N59" s="5" t="s">
        <v>257</v>
      </c>
      <c r="O59" s="5" t="s">
        <v>482</v>
      </c>
      <c r="P59" s="5" t="s">
        <v>482</v>
      </c>
      <c r="Q59" s="3" t="s">
        <v>483</v>
      </c>
      <c r="R59" s="3" t="s">
        <v>260</v>
      </c>
    </row>
    <row r="60" spans="1:18" ht="46" customHeight="1">
      <c r="A60" s="9">
        <v>55</v>
      </c>
      <c r="B60" s="5" t="s">
        <v>484</v>
      </c>
      <c r="C60" s="5" t="s">
        <v>23</v>
      </c>
      <c r="D60" s="5" t="s">
        <v>446</v>
      </c>
      <c r="E60" s="5" t="s">
        <v>16</v>
      </c>
      <c r="F60" s="5" t="s">
        <v>274</v>
      </c>
      <c r="G60" s="5"/>
      <c r="H60" s="3" t="s">
        <v>485</v>
      </c>
      <c r="I60" s="3" t="s">
        <v>486</v>
      </c>
      <c r="J60" s="5" t="s">
        <v>48</v>
      </c>
      <c r="K60" s="7">
        <v>11.5588</v>
      </c>
      <c r="L60" s="11" t="s">
        <v>7</v>
      </c>
      <c r="M60" s="11" t="s">
        <v>264</v>
      </c>
      <c r="N60" s="5" t="s">
        <v>257</v>
      </c>
      <c r="O60" s="5" t="s">
        <v>487</v>
      </c>
      <c r="P60" s="5" t="s">
        <v>487</v>
      </c>
      <c r="Q60" s="3" t="s">
        <v>488</v>
      </c>
      <c r="R60" s="3" t="s">
        <v>267</v>
      </c>
    </row>
    <row r="61" spans="1:18" ht="46" customHeight="1">
      <c r="A61" s="9">
        <v>56</v>
      </c>
      <c r="B61" s="5" t="s">
        <v>489</v>
      </c>
      <c r="C61" s="5" t="s">
        <v>23</v>
      </c>
      <c r="D61" s="5" t="s">
        <v>446</v>
      </c>
      <c r="E61" s="5" t="s">
        <v>16</v>
      </c>
      <c r="F61" s="5" t="s">
        <v>274</v>
      </c>
      <c r="G61" s="5"/>
      <c r="H61" s="3" t="s">
        <v>490</v>
      </c>
      <c r="I61" s="3" t="s">
        <v>491</v>
      </c>
      <c r="J61" s="5" t="s">
        <v>48</v>
      </c>
      <c r="K61" s="7">
        <v>8.3798999999999992</v>
      </c>
      <c r="L61" s="11" t="s">
        <v>7</v>
      </c>
      <c r="M61" s="11" t="s">
        <v>256</v>
      </c>
      <c r="N61" s="5" t="s">
        <v>257</v>
      </c>
      <c r="O61" s="5" t="s">
        <v>360</v>
      </c>
      <c r="P61" s="5" t="s">
        <v>360</v>
      </c>
      <c r="Q61" s="3" t="s">
        <v>361</v>
      </c>
      <c r="R61" s="3" t="s">
        <v>260</v>
      </c>
    </row>
    <row r="62" spans="1:18" ht="46" customHeight="1">
      <c r="A62" s="9">
        <v>57</v>
      </c>
      <c r="B62" s="5" t="s">
        <v>194</v>
      </c>
      <c r="C62" s="5" t="s">
        <v>23</v>
      </c>
      <c r="D62" s="5" t="s">
        <v>446</v>
      </c>
      <c r="E62" s="5" t="s">
        <v>14</v>
      </c>
      <c r="F62" s="5" t="s">
        <v>261</v>
      </c>
      <c r="G62" s="5"/>
      <c r="H62" s="3" t="s">
        <v>492</v>
      </c>
      <c r="I62" s="3" t="s">
        <v>493</v>
      </c>
      <c r="J62" s="5" t="s">
        <v>48</v>
      </c>
      <c r="K62" s="7">
        <v>0.29399999999999998</v>
      </c>
      <c r="L62" s="11" t="s">
        <v>7</v>
      </c>
      <c r="M62" s="11" t="s">
        <v>256</v>
      </c>
      <c r="N62" s="5" t="s">
        <v>257</v>
      </c>
      <c r="O62" s="5" t="s">
        <v>63</v>
      </c>
      <c r="P62" s="5" t="s">
        <v>63</v>
      </c>
      <c r="Q62" s="3" t="s">
        <v>316</v>
      </c>
      <c r="R62" s="3" t="s">
        <v>260</v>
      </c>
    </row>
    <row r="63" spans="1:18" ht="46" customHeight="1">
      <c r="A63" s="9">
        <v>58</v>
      </c>
      <c r="B63" s="5" t="s">
        <v>494</v>
      </c>
      <c r="C63" s="5" t="s">
        <v>23</v>
      </c>
      <c r="D63" s="5" t="s">
        <v>446</v>
      </c>
      <c r="E63" s="5" t="s">
        <v>16</v>
      </c>
      <c r="F63" s="5" t="s">
        <v>253</v>
      </c>
      <c r="G63" s="5"/>
      <c r="H63" s="3" t="s">
        <v>495</v>
      </c>
      <c r="I63" s="3" t="s">
        <v>496</v>
      </c>
      <c r="J63" s="5" t="s">
        <v>48</v>
      </c>
      <c r="K63" s="7">
        <v>6.0499999999999998E-2</v>
      </c>
      <c r="L63" s="11" t="s">
        <v>7</v>
      </c>
      <c r="M63" s="11" t="s">
        <v>256</v>
      </c>
      <c r="N63" s="5" t="s">
        <v>257</v>
      </c>
      <c r="O63" s="5" t="s">
        <v>465</v>
      </c>
      <c r="P63" s="5" t="s">
        <v>465</v>
      </c>
      <c r="Q63" s="3" t="s">
        <v>466</v>
      </c>
      <c r="R63" s="3" t="s">
        <v>260</v>
      </c>
    </row>
    <row r="64" spans="1:18" ht="46" customHeight="1">
      <c r="A64" s="9">
        <v>59</v>
      </c>
      <c r="B64" s="5" t="s">
        <v>198</v>
      </c>
      <c r="C64" s="5" t="s">
        <v>23</v>
      </c>
      <c r="D64" s="5" t="s">
        <v>446</v>
      </c>
      <c r="E64" s="5" t="s">
        <v>14</v>
      </c>
      <c r="F64" s="5" t="s">
        <v>274</v>
      </c>
      <c r="G64" s="5"/>
      <c r="H64" s="3" t="s">
        <v>497</v>
      </c>
      <c r="I64" s="3" t="s">
        <v>498</v>
      </c>
      <c r="J64" s="5" t="s">
        <v>48</v>
      </c>
      <c r="K64" s="7">
        <v>0.1951</v>
      </c>
      <c r="L64" s="11" t="s">
        <v>7</v>
      </c>
      <c r="M64" s="11" t="s">
        <v>256</v>
      </c>
      <c r="N64" s="5" t="s">
        <v>257</v>
      </c>
      <c r="O64" s="5" t="s">
        <v>63</v>
      </c>
      <c r="P64" s="5" t="s">
        <v>63</v>
      </c>
      <c r="Q64" s="3" t="s">
        <v>316</v>
      </c>
      <c r="R64" s="3" t="s">
        <v>260</v>
      </c>
    </row>
    <row r="65" spans="1:18" ht="46" customHeight="1">
      <c r="A65" s="9">
        <v>60</v>
      </c>
      <c r="B65" s="5" t="s">
        <v>499</v>
      </c>
      <c r="C65" s="5" t="s">
        <v>23</v>
      </c>
      <c r="D65" s="5" t="s">
        <v>446</v>
      </c>
      <c r="E65" s="5" t="s">
        <v>14</v>
      </c>
      <c r="F65" s="5" t="s">
        <v>261</v>
      </c>
      <c r="G65" s="5"/>
      <c r="H65" s="3" t="s">
        <v>500</v>
      </c>
      <c r="I65" s="3" t="s">
        <v>501</v>
      </c>
      <c r="J65" s="5" t="s">
        <v>48</v>
      </c>
      <c r="K65" s="7">
        <v>0.5867</v>
      </c>
      <c r="L65" s="11" t="s">
        <v>7</v>
      </c>
      <c r="M65" s="11" t="s">
        <v>256</v>
      </c>
      <c r="N65" s="5" t="s">
        <v>257</v>
      </c>
      <c r="O65" s="5" t="s">
        <v>360</v>
      </c>
      <c r="P65" s="5" t="s">
        <v>360</v>
      </c>
      <c r="Q65" s="3" t="s">
        <v>361</v>
      </c>
      <c r="R65" s="3" t="s">
        <v>260</v>
      </c>
    </row>
    <row r="66" spans="1:18" ht="46" customHeight="1">
      <c r="A66" s="9">
        <v>61</v>
      </c>
      <c r="B66" s="5" t="s">
        <v>502</v>
      </c>
      <c r="C66" s="5" t="s">
        <v>23</v>
      </c>
      <c r="D66" s="5" t="s">
        <v>503</v>
      </c>
      <c r="E66" s="5" t="s">
        <v>17</v>
      </c>
      <c r="F66" s="5" t="s">
        <v>274</v>
      </c>
      <c r="G66" s="5"/>
      <c r="H66" s="3" t="s">
        <v>504</v>
      </c>
      <c r="I66" s="3" t="s">
        <v>505</v>
      </c>
      <c r="J66" s="5" t="s">
        <v>48</v>
      </c>
      <c r="K66" s="7">
        <v>14.0291</v>
      </c>
      <c r="L66" s="11" t="s">
        <v>7</v>
      </c>
      <c r="M66" s="11" t="s">
        <v>506</v>
      </c>
      <c r="N66" s="5" t="s">
        <v>257</v>
      </c>
      <c r="O66" s="5" t="s">
        <v>507</v>
      </c>
      <c r="P66" s="5" t="s">
        <v>508</v>
      </c>
      <c r="Q66" s="3" t="s">
        <v>509</v>
      </c>
      <c r="R66" s="3" t="s">
        <v>260</v>
      </c>
    </row>
    <row r="67" spans="1:18" ht="46" customHeight="1">
      <c r="A67" s="9">
        <v>62</v>
      </c>
      <c r="B67" s="5" t="s">
        <v>510</v>
      </c>
      <c r="C67" s="5" t="s">
        <v>23</v>
      </c>
      <c r="D67" s="5" t="s">
        <v>503</v>
      </c>
      <c r="E67" s="5" t="s">
        <v>17</v>
      </c>
      <c r="F67" s="5" t="s">
        <v>261</v>
      </c>
      <c r="G67" s="5"/>
      <c r="H67" s="3" t="s">
        <v>511</v>
      </c>
      <c r="I67" s="3" t="s">
        <v>512</v>
      </c>
      <c r="J67" s="5" t="s">
        <v>48</v>
      </c>
      <c r="K67" s="7">
        <v>12.079800000000001</v>
      </c>
      <c r="L67" s="11" t="s">
        <v>7</v>
      </c>
      <c r="M67" s="11" t="s">
        <v>506</v>
      </c>
      <c r="N67" s="5" t="s">
        <v>257</v>
      </c>
      <c r="O67" s="5" t="s">
        <v>513</v>
      </c>
      <c r="P67" s="5" t="s">
        <v>514</v>
      </c>
      <c r="Q67" s="3" t="s">
        <v>515</v>
      </c>
      <c r="R67" s="3" t="s">
        <v>260</v>
      </c>
    </row>
    <row r="68" spans="1:18" ht="46" customHeight="1">
      <c r="A68" s="9">
        <v>63</v>
      </c>
      <c r="B68" s="5" t="s">
        <v>516</v>
      </c>
      <c r="C68" s="5" t="s">
        <v>23</v>
      </c>
      <c r="D68" s="5" t="s">
        <v>503</v>
      </c>
      <c r="E68" s="5" t="s">
        <v>17</v>
      </c>
      <c r="F68" s="5" t="s">
        <v>261</v>
      </c>
      <c r="G68" s="5"/>
      <c r="H68" s="3" t="s">
        <v>517</v>
      </c>
      <c r="I68" s="3" t="s">
        <v>518</v>
      </c>
      <c r="J68" s="5" t="s">
        <v>48</v>
      </c>
      <c r="K68" s="7">
        <v>10.942600000000001</v>
      </c>
      <c r="L68" s="11" t="s">
        <v>7</v>
      </c>
      <c r="M68" s="11" t="s">
        <v>506</v>
      </c>
      <c r="N68" s="5" t="s">
        <v>257</v>
      </c>
      <c r="O68" s="5" t="s">
        <v>519</v>
      </c>
      <c r="P68" s="5" t="s">
        <v>520</v>
      </c>
      <c r="Q68" s="3" t="s">
        <v>521</v>
      </c>
      <c r="R68" s="3" t="s">
        <v>260</v>
      </c>
    </row>
    <row r="69" spans="1:18" ht="46" customHeight="1">
      <c r="A69" s="9">
        <v>64</v>
      </c>
      <c r="B69" s="5" t="s">
        <v>522</v>
      </c>
      <c r="C69" s="5" t="s">
        <v>23</v>
      </c>
      <c r="D69" s="5" t="s">
        <v>503</v>
      </c>
      <c r="E69" s="5" t="s">
        <v>17</v>
      </c>
      <c r="F69" s="5" t="s">
        <v>253</v>
      </c>
      <c r="G69" s="5"/>
      <c r="H69" s="3" t="s">
        <v>523</v>
      </c>
      <c r="I69" s="3" t="s">
        <v>524</v>
      </c>
      <c r="J69" s="5" t="s">
        <v>48</v>
      </c>
      <c r="K69" s="7">
        <v>1.2438</v>
      </c>
      <c r="L69" s="11" t="s">
        <v>7</v>
      </c>
      <c r="M69" s="11" t="s">
        <v>506</v>
      </c>
      <c r="N69" s="5" t="s">
        <v>257</v>
      </c>
      <c r="O69" s="5" t="s">
        <v>525</v>
      </c>
      <c r="P69" s="5" t="s">
        <v>526</v>
      </c>
      <c r="Q69" s="3" t="s">
        <v>527</v>
      </c>
      <c r="R69" s="3" t="s">
        <v>260</v>
      </c>
    </row>
    <row r="70" spans="1:18" ht="46" customHeight="1">
      <c r="A70" s="9">
        <v>65</v>
      </c>
      <c r="B70" s="5" t="s">
        <v>201</v>
      </c>
      <c r="C70" s="5" t="s">
        <v>23</v>
      </c>
      <c r="D70" s="5" t="s">
        <v>503</v>
      </c>
      <c r="E70" s="5" t="s">
        <v>17</v>
      </c>
      <c r="F70" s="5" t="s">
        <v>261</v>
      </c>
      <c r="G70" s="5"/>
      <c r="H70" s="3" t="s">
        <v>528</v>
      </c>
      <c r="I70" s="3" t="s">
        <v>529</v>
      </c>
      <c r="J70" s="5" t="s">
        <v>48</v>
      </c>
      <c r="K70" s="7">
        <v>30.082999999999998</v>
      </c>
      <c r="L70" s="11" t="s">
        <v>7</v>
      </c>
      <c r="M70" s="11" t="s">
        <v>506</v>
      </c>
      <c r="N70" s="5" t="s">
        <v>257</v>
      </c>
      <c r="O70" s="5" t="s">
        <v>530</v>
      </c>
      <c r="P70" s="5" t="s">
        <v>531</v>
      </c>
      <c r="Q70" s="3" t="s">
        <v>532</v>
      </c>
      <c r="R70" s="3" t="s">
        <v>260</v>
      </c>
    </row>
    <row r="71" spans="1:18" ht="46" customHeight="1">
      <c r="A71" s="9">
        <v>66</v>
      </c>
      <c r="B71" s="5" t="s">
        <v>533</v>
      </c>
      <c r="C71" s="5" t="s">
        <v>23</v>
      </c>
      <c r="D71" s="5" t="s">
        <v>503</v>
      </c>
      <c r="E71" s="5" t="s">
        <v>17</v>
      </c>
      <c r="F71" s="5" t="s">
        <v>253</v>
      </c>
      <c r="G71" s="5"/>
      <c r="H71" s="3" t="s">
        <v>534</v>
      </c>
      <c r="I71" s="3" t="s">
        <v>535</v>
      </c>
      <c r="J71" s="5" t="s">
        <v>48</v>
      </c>
      <c r="K71" s="7">
        <v>0.52610000000000001</v>
      </c>
      <c r="L71" s="11" t="s">
        <v>7</v>
      </c>
      <c r="M71" s="11" t="s">
        <v>506</v>
      </c>
      <c r="N71" s="5" t="s">
        <v>257</v>
      </c>
      <c r="O71" s="5" t="s">
        <v>536</v>
      </c>
      <c r="P71" s="5" t="s">
        <v>537</v>
      </c>
      <c r="Q71" s="3" t="s">
        <v>538</v>
      </c>
      <c r="R71" s="3" t="s">
        <v>260</v>
      </c>
    </row>
    <row r="72" spans="1:18" ht="46" customHeight="1">
      <c r="A72" s="9">
        <v>67</v>
      </c>
      <c r="B72" s="5" t="s">
        <v>539</v>
      </c>
      <c r="C72" s="5" t="s">
        <v>23</v>
      </c>
      <c r="D72" s="5" t="s">
        <v>503</v>
      </c>
      <c r="E72" s="5" t="s">
        <v>17</v>
      </c>
      <c r="F72" s="5" t="s">
        <v>274</v>
      </c>
      <c r="G72" s="5"/>
      <c r="H72" s="3" t="s">
        <v>540</v>
      </c>
      <c r="I72" s="3" t="s">
        <v>541</v>
      </c>
      <c r="J72" s="5" t="s">
        <v>48</v>
      </c>
      <c r="K72" s="7">
        <v>5.9467999999999996</v>
      </c>
      <c r="L72" s="11" t="s">
        <v>7</v>
      </c>
      <c r="M72" s="11" t="s">
        <v>506</v>
      </c>
      <c r="N72" s="5" t="s">
        <v>257</v>
      </c>
      <c r="O72" s="5" t="s">
        <v>542</v>
      </c>
      <c r="P72" s="5" t="s">
        <v>543</v>
      </c>
      <c r="Q72" s="3" t="s">
        <v>544</v>
      </c>
      <c r="R72" s="3" t="s">
        <v>260</v>
      </c>
    </row>
    <row r="73" spans="1:18" ht="46" customHeight="1">
      <c r="A73" s="9">
        <v>68</v>
      </c>
      <c r="B73" s="5" t="s">
        <v>545</v>
      </c>
      <c r="C73" s="5" t="s">
        <v>23</v>
      </c>
      <c r="D73" s="5" t="s">
        <v>503</v>
      </c>
      <c r="E73" s="5" t="s">
        <v>17</v>
      </c>
      <c r="F73" s="5" t="s">
        <v>261</v>
      </c>
      <c r="G73" s="5"/>
      <c r="H73" s="3" t="s">
        <v>546</v>
      </c>
      <c r="I73" s="3" t="s">
        <v>547</v>
      </c>
      <c r="J73" s="5" t="s">
        <v>48</v>
      </c>
      <c r="K73" s="7">
        <v>11.904500000000001</v>
      </c>
      <c r="L73" s="11" t="s">
        <v>7</v>
      </c>
      <c r="M73" s="11" t="s">
        <v>506</v>
      </c>
      <c r="N73" s="5" t="s">
        <v>257</v>
      </c>
      <c r="O73" s="5" t="s">
        <v>548</v>
      </c>
      <c r="P73" s="5" t="s">
        <v>549</v>
      </c>
      <c r="Q73" s="3" t="s">
        <v>550</v>
      </c>
      <c r="R73" s="3" t="s">
        <v>260</v>
      </c>
    </row>
    <row r="74" spans="1:18" ht="46" customHeight="1">
      <c r="A74" s="9">
        <v>69</v>
      </c>
      <c r="B74" s="5" t="s">
        <v>551</v>
      </c>
      <c r="C74" s="5" t="s">
        <v>23</v>
      </c>
      <c r="D74" s="5" t="s">
        <v>503</v>
      </c>
      <c r="E74" s="5" t="s">
        <v>17</v>
      </c>
      <c r="F74" s="5" t="s">
        <v>261</v>
      </c>
      <c r="G74" s="5"/>
      <c r="H74" s="3" t="s">
        <v>552</v>
      </c>
      <c r="I74" s="3" t="s">
        <v>553</v>
      </c>
      <c r="J74" s="5" t="s">
        <v>48</v>
      </c>
      <c r="K74" s="7">
        <v>6.0015000000000001</v>
      </c>
      <c r="L74" s="11" t="s">
        <v>7</v>
      </c>
      <c r="M74" s="11" t="s">
        <v>506</v>
      </c>
      <c r="N74" s="5" t="s">
        <v>257</v>
      </c>
      <c r="O74" s="5" t="s">
        <v>554</v>
      </c>
      <c r="P74" s="5" t="s">
        <v>555</v>
      </c>
      <c r="Q74" s="3" t="s">
        <v>556</v>
      </c>
      <c r="R74" s="3" t="s">
        <v>260</v>
      </c>
    </row>
    <row r="75" spans="1:18" ht="46" customHeight="1">
      <c r="A75" s="9">
        <v>70</v>
      </c>
      <c r="B75" s="5" t="s">
        <v>557</v>
      </c>
      <c r="C75" s="5" t="s">
        <v>23</v>
      </c>
      <c r="D75" s="5" t="s">
        <v>503</v>
      </c>
      <c r="E75" s="5" t="s">
        <v>17</v>
      </c>
      <c r="F75" s="5" t="s">
        <v>261</v>
      </c>
      <c r="G75" s="5"/>
      <c r="H75" s="3" t="s">
        <v>558</v>
      </c>
      <c r="I75" s="3" t="s">
        <v>559</v>
      </c>
      <c r="J75" s="5" t="s">
        <v>48</v>
      </c>
      <c r="K75" s="7">
        <v>10.7538</v>
      </c>
      <c r="L75" s="11" t="s">
        <v>7</v>
      </c>
      <c r="M75" s="11" t="s">
        <v>506</v>
      </c>
      <c r="N75" s="5" t="s">
        <v>257</v>
      </c>
      <c r="O75" s="5" t="s">
        <v>560</v>
      </c>
      <c r="P75" s="5" t="s">
        <v>561</v>
      </c>
      <c r="Q75" s="3" t="s">
        <v>562</v>
      </c>
      <c r="R75" s="3" t="s">
        <v>260</v>
      </c>
    </row>
    <row r="76" spans="1:18" ht="46" customHeight="1">
      <c r="A76" s="9">
        <v>71</v>
      </c>
      <c r="B76" s="5" t="s">
        <v>563</v>
      </c>
      <c r="C76" s="5" t="s">
        <v>23</v>
      </c>
      <c r="D76" s="5" t="s">
        <v>503</v>
      </c>
      <c r="E76" s="5" t="s">
        <v>17</v>
      </c>
      <c r="F76" s="5" t="s">
        <v>253</v>
      </c>
      <c r="G76" s="5"/>
      <c r="H76" s="3" t="s">
        <v>564</v>
      </c>
      <c r="I76" s="3" t="s">
        <v>565</v>
      </c>
      <c r="J76" s="5" t="s">
        <v>48</v>
      </c>
      <c r="K76" s="7">
        <v>0.81430000000000002</v>
      </c>
      <c r="L76" s="11" t="s">
        <v>7</v>
      </c>
      <c r="M76" s="11" t="s">
        <v>506</v>
      </c>
      <c r="N76" s="5" t="s">
        <v>257</v>
      </c>
      <c r="O76" s="5" t="s">
        <v>525</v>
      </c>
      <c r="P76" s="5" t="s">
        <v>526</v>
      </c>
      <c r="Q76" s="3" t="s">
        <v>566</v>
      </c>
      <c r="R76" s="3" t="s">
        <v>260</v>
      </c>
    </row>
    <row r="77" spans="1:18" ht="46" customHeight="1">
      <c r="A77" s="9">
        <v>72</v>
      </c>
      <c r="B77" s="5" t="s">
        <v>567</v>
      </c>
      <c r="C77" s="5" t="s">
        <v>23</v>
      </c>
      <c r="D77" s="5" t="s">
        <v>503</v>
      </c>
      <c r="E77" s="5" t="s">
        <v>17</v>
      </c>
      <c r="F77" s="5" t="s">
        <v>261</v>
      </c>
      <c r="G77" s="5"/>
      <c r="H77" s="3" t="s">
        <v>568</v>
      </c>
      <c r="I77" s="3" t="s">
        <v>569</v>
      </c>
      <c r="J77" s="5" t="s">
        <v>48</v>
      </c>
      <c r="K77" s="7">
        <v>10.574</v>
      </c>
      <c r="L77" s="11" t="s">
        <v>7</v>
      </c>
      <c r="M77" s="11" t="s">
        <v>506</v>
      </c>
      <c r="N77" s="5" t="s">
        <v>257</v>
      </c>
      <c r="O77" s="5" t="s">
        <v>570</v>
      </c>
      <c r="P77" s="5" t="s">
        <v>571</v>
      </c>
      <c r="Q77" s="3" t="s">
        <v>572</v>
      </c>
      <c r="R77" s="3" t="s">
        <v>260</v>
      </c>
    </row>
    <row r="78" spans="1:18" ht="46" customHeight="1">
      <c r="A78" s="9">
        <v>73</v>
      </c>
      <c r="B78" s="5" t="s">
        <v>204</v>
      </c>
      <c r="C78" s="5" t="s">
        <v>23</v>
      </c>
      <c r="D78" s="5" t="s">
        <v>503</v>
      </c>
      <c r="E78" s="5" t="s">
        <v>17</v>
      </c>
      <c r="F78" s="5" t="s">
        <v>261</v>
      </c>
      <c r="G78" s="5"/>
      <c r="H78" s="3" t="s">
        <v>573</v>
      </c>
      <c r="I78" s="3" t="s">
        <v>574</v>
      </c>
      <c r="J78" s="5" t="s">
        <v>48</v>
      </c>
      <c r="K78" s="7">
        <v>0.23530000000000001</v>
      </c>
      <c r="L78" s="11" t="s">
        <v>7</v>
      </c>
      <c r="M78" s="11" t="s">
        <v>506</v>
      </c>
      <c r="N78" s="5" t="s">
        <v>257</v>
      </c>
      <c r="O78" s="5" t="s">
        <v>575</v>
      </c>
      <c r="P78" s="5" t="s">
        <v>576</v>
      </c>
      <c r="Q78" s="3" t="s">
        <v>577</v>
      </c>
      <c r="R78" s="3" t="s">
        <v>260</v>
      </c>
    </row>
    <row r="79" spans="1:18" ht="46" customHeight="1">
      <c r="A79" s="9">
        <v>74</v>
      </c>
      <c r="B79" s="5" t="s">
        <v>578</v>
      </c>
      <c r="C79" s="5" t="s">
        <v>23</v>
      </c>
      <c r="D79" s="5" t="s">
        <v>503</v>
      </c>
      <c r="E79" s="5" t="s">
        <v>17</v>
      </c>
      <c r="F79" s="5" t="s">
        <v>253</v>
      </c>
      <c r="G79" s="5"/>
      <c r="H79" s="3" t="s">
        <v>579</v>
      </c>
      <c r="I79" s="3" t="s">
        <v>580</v>
      </c>
      <c r="J79" s="5" t="s">
        <v>48</v>
      </c>
      <c r="K79" s="7">
        <v>11.837400000000001</v>
      </c>
      <c r="L79" s="11" t="s">
        <v>7</v>
      </c>
      <c r="M79" s="11" t="s">
        <v>506</v>
      </c>
      <c r="N79" s="5" t="s">
        <v>257</v>
      </c>
      <c r="O79" s="5" t="s">
        <v>519</v>
      </c>
      <c r="P79" s="5" t="s">
        <v>520</v>
      </c>
      <c r="Q79" s="3" t="s">
        <v>581</v>
      </c>
      <c r="R79" s="3" t="s">
        <v>260</v>
      </c>
    </row>
    <row r="80" spans="1:18" ht="46" customHeight="1">
      <c r="A80" s="9">
        <v>75</v>
      </c>
      <c r="B80" s="5" t="s">
        <v>582</v>
      </c>
      <c r="C80" s="5" t="s">
        <v>23</v>
      </c>
      <c r="D80" s="5" t="s">
        <v>503</v>
      </c>
      <c r="E80" s="5" t="s">
        <v>17</v>
      </c>
      <c r="F80" s="5" t="s">
        <v>274</v>
      </c>
      <c r="G80" s="5"/>
      <c r="H80" s="3" t="s">
        <v>583</v>
      </c>
      <c r="I80" s="3" t="s">
        <v>584</v>
      </c>
      <c r="J80" s="5" t="s">
        <v>48</v>
      </c>
      <c r="K80" s="7">
        <v>9.1196000000000002</v>
      </c>
      <c r="L80" s="11" t="s">
        <v>7</v>
      </c>
      <c r="M80" s="11" t="s">
        <v>506</v>
      </c>
      <c r="N80" s="5" t="s">
        <v>257</v>
      </c>
      <c r="O80" s="5" t="s">
        <v>585</v>
      </c>
      <c r="P80" s="5" t="s">
        <v>586</v>
      </c>
      <c r="Q80" s="3" t="s">
        <v>587</v>
      </c>
      <c r="R80" s="3" t="s">
        <v>260</v>
      </c>
    </row>
    <row r="81" spans="1:18" ht="46" customHeight="1">
      <c r="A81" s="9">
        <v>76</v>
      </c>
      <c r="B81" s="5" t="s">
        <v>588</v>
      </c>
      <c r="C81" s="5" t="s">
        <v>25</v>
      </c>
      <c r="D81" s="5" t="s">
        <v>589</v>
      </c>
      <c r="E81" s="5" t="s">
        <v>14</v>
      </c>
      <c r="F81" s="5" t="s">
        <v>253</v>
      </c>
      <c r="G81" s="5"/>
      <c r="H81" s="3" t="s">
        <v>590</v>
      </c>
      <c r="I81" s="3" t="s">
        <v>591</v>
      </c>
      <c r="J81" s="5" t="s">
        <v>48</v>
      </c>
      <c r="K81" s="7">
        <v>4.41E-2</v>
      </c>
      <c r="L81" s="11" t="s">
        <v>7</v>
      </c>
      <c r="M81" s="11" t="s">
        <v>256</v>
      </c>
      <c r="N81" s="5" t="s">
        <v>257</v>
      </c>
      <c r="O81" s="5" t="s">
        <v>592</v>
      </c>
      <c r="P81" s="5" t="s">
        <v>592</v>
      </c>
      <c r="Q81" s="3" t="s">
        <v>593</v>
      </c>
      <c r="R81" s="3" t="s">
        <v>260</v>
      </c>
    </row>
    <row r="82" spans="1:18" ht="46" customHeight="1">
      <c r="A82" s="9">
        <v>77</v>
      </c>
      <c r="B82" s="5" t="s">
        <v>594</v>
      </c>
      <c r="C82" s="5" t="s">
        <v>25</v>
      </c>
      <c r="D82" s="5" t="s">
        <v>589</v>
      </c>
      <c r="E82" s="5" t="s">
        <v>14</v>
      </c>
      <c r="F82" s="5" t="s">
        <v>253</v>
      </c>
      <c r="G82" s="5"/>
      <c r="H82" s="3" t="s">
        <v>595</v>
      </c>
      <c r="I82" s="3" t="s">
        <v>596</v>
      </c>
      <c r="J82" s="5" t="s">
        <v>48</v>
      </c>
      <c r="K82" s="7">
        <v>1.77E-2</v>
      </c>
      <c r="L82" s="11" t="s">
        <v>7</v>
      </c>
      <c r="M82" s="11" t="s">
        <v>256</v>
      </c>
      <c r="N82" s="5" t="s">
        <v>257</v>
      </c>
      <c r="O82" s="5" t="s">
        <v>292</v>
      </c>
      <c r="P82" s="5" t="s">
        <v>292</v>
      </c>
      <c r="Q82" s="3" t="s">
        <v>293</v>
      </c>
      <c r="R82" s="3" t="s">
        <v>260</v>
      </c>
    </row>
    <row r="83" spans="1:18" ht="46" customHeight="1">
      <c r="A83" s="9">
        <v>78</v>
      </c>
      <c r="B83" s="5" t="s">
        <v>597</v>
      </c>
      <c r="C83" s="5" t="s">
        <v>25</v>
      </c>
      <c r="D83" s="5" t="s">
        <v>589</v>
      </c>
      <c r="E83" s="5" t="s">
        <v>14</v>
      </c>
      <c r="F83" s="5" t="s">
        <v>253</v>
      </c>
      <c r="G83" s="5"/>
      <c r="H83" s="3" t="s">
        <v>598</v>
      </c>
      <c r="I83" s="3" t="s">
        <v>599</v>
      </c>
      <c r="J83" s="5" t="s">
        <v>48</v>
      </c>
      <c r="K83" s="7">
        <v>1.2800000000000001E-2</v>
      </c>
      <c r="L83" s="11" t="s">
        <v>7</v>
      </c>
      <c r="M83" s="11" t="s">
        <v>256</v>
      </c>
      <c r="N83" s="5" t="s">
        <v>257</v>
      </c>
      <c r="O83" s="5" t="s">
        <v>355</v>
      </c>
      <c r="P83" s="5" t="s">
        <v>355</v>
      </c>
      <c r="Q83" s="3" t="s">
        <v>356</v>
      </c>
      <c r="R83" s="3" t="s">
        <v>260</v>
      </c>
    </row>
    <row r="84" spans="1:18" ht="46" customHeight="1">
      <c r="A84" s="9">
        <v>79</v>
      </c>
      <c r="B84" s="5" t="s">
        <v>600</v>
      </c>
      <c r="C84" s="5" t="s">
        <v>25</v>
      </c>
      <c r="D84" s="5" t="s">
        <v>589</v>
      </c>
      <c r="E84" s="5" t="s">
        <v>14</v>
      </c>
      <c r="F84" s="5" t="s">
        <v>253</v>
      </c>
      <c r="G84" s="5"/>
      <c r="H84" s="3" t="s">
        <v>601</v>
      </c>
      <c r="I84" s="3" t="s">
        <v>602</v>
      </c>
      <c r="J84" s="5" t="s">
        <v>48</v>
      </c>
      <c r="K84" s="7">
        <v>8.7499999999999994E-2</v>
      </c>
      <c r="L84" s="11" t="s">
        <v>7</v>
      </c>
      <c r="M84" s="11" t="s">
        <v>256</v>
      </c>
      <c r="N84" s="5" t="s">
        <v>257</v>
      </c>
      <c r="O84" s="5" t="s">
        <v>325</v>
      </c>
      <c r="P84" s="5" t="s">
        <v>325</v>
      </c>
      <c r="Q84" s="3" t="s">
        <v>346</v>
      </c>
      <c r="R84" s="3" t="s">
        <v>260</v>
      </c>
    </row>
    <row r="85" spans="1:18" ht="46" customHeight="1">
      <c r="A85" s="9">
        <v>80</v>
      </c>
      <c r="B85" s="5" t="s">
        <v>603</v>
      </c>
      <c r="C85" s="5" t="s">
        <v>25</v>
      </c>
      <c r="D85" s="5" t="s">
        <v>589</v>
      </c>
      <c r="E85" s="5" t="s">
        <v>16</v>
      </c>
      <c r="F85" s="5" t="s">
        <v>253</v>
      </c>
      <c r="G85" s="5"/>
      <c r="H85" s="3" t="s">
        <v>604</v>
      </c>
      <c r="I85" s="3" t="s">
        <v>605</v>
      </c>
      <c r="J85" s="5" t="s">
        <v>48</v>
      </c>
      <c r="K85" s="7">
        <v>7.8100000000000003E-2</v>
      </c>
      <c r="L85" s="11" t="s">
        <v>7</v>
      </c>
      <c r="M85" s="11" t="s">
        <v>256</v>
      </c>
      <c r="N85" s="5" t="s">
        <v>257</v>
      </c>
      <c r="O85" s="5" t="s">
        <v>465</v>
      </c>
      <c r="P85" s="5" t="s">
        <v>465</v>
      </c>
      <c r="Q85" s="3" t="s">
        <v>466</v>
      </c>
      <c r="R85" s="3" t="s">
        <v>260</v>
      </c>
    </row>
    <row r="86" spans="1:18" ht="46" customHeight="1">
      <c r="A86" s="9">
        <v>81</v>
      </c>
      <c r="B86" s="5" t="s">
        <v>606</v>
      </c>
      <c r="C86" s="5" t="s">
        <v>25</v>
      </c>
      <c r="D86" s="5" t="s">
        <v>589</v>
      </c>
      <c r="E86" s="5" t="s">
        <v>14</v>
      </c>
      <c r="F86" s="5" t="s">
        <v>253</v>
      </c>
      <c r="G86" s="5"/>
      <c r="H86" s="3" t="s">
        <v>607</v>
      </c>
      <c r="I86" s="3" t="s">
        <v>608</v>
      </c>
      <c r="J86" s="5" t="s">
        <v>48</v>
      </c>
      <c r="K86" s="7">
        <v>3.5400000000000001E-2</v>
      </c>
      <c r="L86" s="11" t="s">
        <v>7</v>
      </c>
      <c r="M86" s="11" t="s">
        <v>256</v>
      </c>
      <c r="N86" s="5" t="s">
        <v>257</v>
      </c>
      <c r="O86" s="5" t="s">
        <v>609</v>
      </c>
      <c r="P86" s="5" t="s">
        <v>609</v>
      </c>
      <c r="Q86" s="3" t="s">
        <v>610</v>
      </c>
      <c r="R86" s="3" t="s">
        <v>260</v>
      </c>
    </row>
    <row r="87" spans="1:18" ht="46" customHeight="1">
      <c r="A87" s="9">
        <v>82</v>
      </c>
      <c r="B87" s="5" t="s">
        <v>611</v>
      </c>
      <c r="C87" s="5" t="s">
        <v>25</v>
      </c>
      <c r="D87" s="5" t="s">
        <v>589</v>
      </c>
      <c r="E87" s="5" t="s">
        <v>14</v>
      </c>
      <c r="F87" s="5" t="s">
        <v>253</v>
      </c>
      <c r="G87" s="5"/>
      <c r="H87" s="3" t="s">
        <v>612</v>
      </c>
      <c r="I87" s="3" t="s">
        <v>613</v>
      </c>
      <c r="J87" s="5" t="s">
        <v>48</v>
      </c>
      <c r="K87" s="7">
        <v>3.7699999999999997E-2</v>
      </c>
      <c r="L87" s="11" t="s">
        <v>7</v>
      </c>
      <c r="M87" s="11" t="s">
        <v>256</v>
      </c>
      <c r="N87" s="5" t="s">
        <v>257</v>
      </c>
      <c r="O87" s="5" t="s">
        <v>63</v>
      </c>
      <c r="P87" s="5" t="s">
        <v>63</v>
      </c>
      <c r="Q87" s="3" t="s">
        <v>316</v>
      </c>
      <c r="R87" s="3" t="s">
        <v>260</v>
      </c>
    </row>
    <row r="88" spans="1:18" ht="46" customHeight="1">
      <c r="A88" s="9">
        <v>83</v>
      </c>
      <c r="B88" s="5" t="s">
        <v>614</v>
      </c>
      <c r="C88" s="5" t="s">
        <v>25</v>
      </c>
      <c r="D88" s="5" t="s">
        <v>589</v>
      </c>
      <c r="E88" s="5" t="s">
        <v>14</v>
      </c>
      <c r="F88" s="5" t="s">
        <v>253</v>
      </c>
      <c r="G88" s="5"/>
      <c r="H88" s="3" t="s">
        <v>615</v>
      </c>
      <c r="I88" s="3" t="s">
        <v>616</v>
      </c>
      <c r="J88" s="5" t="s">
        <v>48</v>
      </c>
      <c r="K88" s="7">
        <v>2.24E-2</v>
      </c>
      <c r="L88" s="11" t="s">
        <v>7</v>
      </c>
      <c r="M88" s="11" t="s">
        <v>256</v>
      </c>
      <c r="N88" s="5" t="s">
        <v>257</v>
      </c>
      <c r="O88" s="5" t="s">
        <v>426</v>
      </c>
      <c r="P88" s="5" t="s">
        <v>426</v>
      </c>
      <c r="Q88" s="3" t="s">
        <v>427</v>
      </c>
      <c r="R88" s="3" t="s">
        <v>260</v>
      </c>
    </row>
    <row r="89" spans="1:18" ht="46" customHeight="1">
      <c r="A89" s="9">
        <v>84</v>
      </c>
      <c r="B89" s="5" t="s">
        <v>617</v>
      </c>
      <c r="C89" s="5" t="s">
        <v>25</v>
      </c>
      <c r="D89" s="5" t="s">
        <v>589</v>
      </c>
      <c r="E89" s="5" t="s">
        <v>14</v>
      </c>
      <c r="F89" s="5" t="s">
        <v>253</v>
      </c>
      <c r="G89" s="5"/>
      <c r="H89" s="3" t="s">
        <v>618</v>
      </c>
      <c r="I89" s="3" t="s">
        <v>619</v>
      </c>
      <c r="J89" s="5" t="s">
        <v>48</v>
      </c>
      <c r="K89" s="7">
        <v>1.5599999999999999E-2</v>
      </c>
      <c r="L89" s="11" t="s">
        <v>7</v>
      </c>
      <c r="M89" s="11" t="s">
        <v>256</v>
      </c>
      <c r="N89" s="5" t="s">
        <v>257</v>
      </c>
      <c r="O89" s="5" t="s">
        <v>325</v>
      </c>
      <c r="P89" s="5" t="s">
        <v>325</v>
      </c>
      <c r="Q89" s="3" t="s">
        <v>346</v>
      </c>
      <c r="R89" s="3" t="s">
        <v>260</v>
      </c>
    </row>
    <row r="90" spans="1:18" ht="46" customHeight="1">
      <c r="A90" s="9">
        <v>85</v>
      </c>
      <c r="B90" s="5" t="s">
        <v>620</v>
      </c>
      <c r="C90" s="5" t="s">
        <v>25</v>
      </c>
      <c r="D90" s="5" t="s">
        <v>589</v>
      </c>
      <c r="E90" s="5" t="s">
        <v>14</v>
      </c>
      <c r="F90" s="5" t="s">
        <v>261</v>
      </c>
      <c r="G90" s="5"/>
      <c r="H90" s="3" t="s">
        <v>621</v>
      </c>
      <c r="I90" s="3" t="s">
        <v>622</v>
      </c>
      <c r="J90" s="5" t="s">
        <v>48</v>
      </c>
      <c r="K90" s="7">
        <v>1.2500000000000001E-2</v>
      </c>
      <c r="L90" s="11" t="s">
        <v>7</v>
      </c>
      <c r="M90" s="11" t="s">
        <v>256</v>
      </c>
      <c r="N90" s="5" t="s">
        <v>257</v>
      </c>
      <c r="O90" s="5" t="s">
        <v>355</v>
      </c>
      <c r="P90" s="5" t="s">
        <v>355</v>
      </c>
      <c r="Q90" s="3" t="s">
        <v>356</v>
      </c>
      <c r="R90" s="3" t="s">
        <v>260</v>
      </c>
    </row>
    <row r="91" spans="1:18" ht="46" customHeight="1">
      <c r="A91" s="9">
        <v>86</v>
      </c>
      <c r="B91" s="5" t="s">
        <v>623</v>
      </c>
      <c r="C91" s="5" t="s">
        <v>25</v>
      </c>
      <c r="D91" s="5" t="s">
        <v>589</v>
      </c>
      <c r="E91" s="5" t="s">
        <v>14</v>
      </c>
      <c r="F91" s="5" t="s">
        <v>261</v>
      </c>
      <c r="G91" s="5"/>
      <c r="H91" s="3" t="s">
        <v>624</v>
      </c>
      <c r="I91" s="3" t="s">
        <v>625</v>
      </c>
      <c r="J91" s="5" t="s">
        <v>48</v>
      </c>
      <c r="K91" s="7">
        <v>8.5500000000000007E-2</v>
      </c>
      <c r="L91" s="11" t="s">
        <v>7</v>
      </c>
      <c r="M91" s="11" t="s">
        <v>256</v>
      </c>
      <c r="N91" s="5" t="s">
        <v>257</v>
      </c>
      <c r="O91" s="5" t="s">
        <v>325</v>
      </c>
      <c r="P91" s="5" t="s">
        <v>325</v>
      </c>
      <c r="Q91" s="3" t="s">
        <v>346</v>
      </c>
      <c r="R91" s="3" t="s">
        <v>260</v>
      </c>
    </row>
    <row r="92" spans="1:18" ht="46" customHeight="1">
      <c r="A92" s="9">
        <v>87</v>
      </c>
      <c r="B92" s="5" t="s">
        <v>626</v>
      </c>
      <c r="C92" s="5" t="s">
        <v>25</v>
      </c>
      <c r="D92" s="5" t="s">
        <v>589</v>
      </c>
      <c r="E92" s="5" t="s">
        <v>14</v>
      </c>
      <c r="F92" s="5" t="s">
        <v>261</v>
      </c>
      <c r="G92" s="5"/>
      <c r="H92" s="3" t="s">
        <v>627</v>
      </c>
      <c r="I92" s="3" t="s">
        <v>628</v>
      </c>
      <c r="J92" s="5" t="s">
        <v>48</v>
      </c>
      <c r="K92" s="7">
        <v>0.09</v>
      </c>
      <c r="L92" s="11" t="s">
        <v>7</v>
      </c>
      <c r="M92" s="11" t="s">
        <v>256</v>
      </c>
      <c r="N92" s="5" t="s">
        <v>257</v>
      </c>
      <c r="O92" s="5" t="s">
        <v>443</v>
      </c>
      <c r="P92" s="5" t="s">
        <v>443</v>
      </c>
      <c r="Q92" s="3" t="s">
        <v>444</v>
      </c>
      <c r="R92" s="3" t="s">
        <v>260</v>
      </c>
    </row>
    <row r="93" spans="1:18" ht="46" customHeight="1">
      <c r="A93" s="9">
        <v>88</v>
      </c>
      <c r="B93" s="5" t="s">
        <v>629</v>
      </c>
      <c r="C93" s="5" t="s">
        <v>25</v>
      </c>
      <c r="D93" s="5" t="s">
        <v>589</v>
      </c>
      <c r="E93" s="5" t="s">
        <v>14</v>
      </c>
      <c r="F93" s="5" t="s">
        <v>253</v>
      </c>
      <c r="G93" s="5"/>
      <c r="H93" s="3" t="s">
        <v>630</v>
      </c>
      <c r="I93" s="3" t="s">
        <v>631</v>
      </c>
      <c r="J93" s="5" t="s">
        <v>48</v>
      </c>
      <c r="K93" s="7">
        <v>1.6E-2</v>
      </c>
      <c r="L93" s="11" t="s">
        <v>7</v>
      </c>
      <c r="M93" s="11" t="s">
        <v>256</v>
      </c>
      <c r="N93" s="5" t="s">
        <v>257</v>
      </c>
      <c r="O93" s="5" t="s">
        <v>50</v>
      </c>
      <c r="P93" s="5" t="s">
        <v>50</v>
      </c>
      <c r="Q93" s="3" t="s">
        <v>431</v>
      </c>
      <c r="R93" s="3" t="s">
        <v>260</v>
      </c>
    </row>
    <row r="94" spans="1:18" ht="46" customHeight="1">
      <c r="A94" s="9">
        <v>89</v>
      </c>
      <c r="B94" s="5" t="s">
        <v>632</v>
      </c>
      <c r="C94" s="5" t="s">
        <v>25</v>
      </c>
      <c r="D94" s="5" t="s">
        <v>589</v>
      </c>
      <c r="E94" s="5" t="s">
        <v>16</v>
      </c>
      <c r="F94" s="5" t="s">
        <v>253</v>
      </c>
      <c r="G94" s="5"/>
      <c r="H94" s="3" t="s">
        <v>633</v>
      </c>
      <c r="I94" s="3" t="s">
        <v>634</v>
      </c>
      <c r="J94" s="5" t="s">
        <v>48</v>
      </c>
      <c r="K94" s="7">
        <v>7.8899999999999998E-2</v>
      </c>
      <c r="L94" s="11" t="s">
        <v>7</v>
      </c>
      <c r="M94" s="11" t="s">
        <v>256</v>
      </c>
      <c r="N94" s="5" t="s">
        <v>257</v>
      </c>
      <c r="O94" s="5" t="s">
        <v>465</v>
      </c>
      <c r="P94" s="5" t="s">
        <v>465</v>
      </c>
      <c r="Q94" s="3" t="s">
        <v>466</v>
      </c>
      <c r="R94" s="3" t="s">
        <v>260</v>
      </c>
    </row>
    <row r="95" spans="1:18" ht="46" customHeight="1">
      <c r="A95" s="9">
        <v>90</v>
      </c>
      <c r="B95" s="5" t="s">
        <v>87</v>
      </c>
      <c r="C95" s="5" t="s">
        <v>25</v>
      </c>
      <c r="D95" s="5" t="s">
        <v>589</v>
      </c>
      <c r="E95" s="5" t="s">
        <v>14</v>
      </c>
      <c r="F95" s="5" t="s">
        <v>261</v>
      </c>
      <c r="G95" s="5"/>
      <c r="H95" s="3" t="s">
        <v>88</v>
      </c>
      <c r="I95" s="3" t="s">
        <v>635</v>
      </c>
      <c r="J95" s="5" t="s">
        <v>48</v>
      </c>
      <c r="K95" s="7">
        <v>0.3226</v>
      </c>
      <c r="L95" s="13" t="s">
        <v>8</v>
      </c>
      <c r="M95" s="13" t="s">
        <v>636</v>
      </c>
      <c r="N95" s="5" t="s">
        <v>257</v>
      </c>
      <c r="O95" s="5" t="s">
        <v>89</v>
      </c>
      <c r="P95" s="5" t="s">
        <v>89</v>
      </c>
      <c r="Q95" s="3" t="s">
        <v>90</v>
      </c>
      <c r="R95" s="3" t="s">
        <v>91</v>
      </c>
    </row>
    <row r="96" spans="1:18" ht="46" customHeight="1">
      <c r="A96" s="9">
        <v>91</v>
      </c>
      <c r="B96" s="5" t="s">
        <v>92</v>
      </c>
      <c r="C96" s="5" t="s">
        <v>25</v>
      </c>
      <c r="D96" s="5" t="s">
        <v>637</v>
      </c>
      <c r="E96" s="5" t="s">
        <v>14</v>
      </c>
      <c r="F96" s="5" t="s">
        <v>261</v>
      </c>
      <c r="G96" s="5"/>
      <c r="H96" s="3" t="s">
        <v>93</v>
      </c>
      <c r="I96" s="3" t="s">
        <v>638</v>
      </c>
      <c r="J96" s="5" t="s">
        <v>48</v>
      </c>
      <c r="K96" s="7">
        <v>0.25309999999999999</v>
      </c>
      <c r="L96" s="13" t="s">
        <v>8</v>
      </c>
      <c r="M96" s="13" t="s">
        <v>636</v>
      </c>
      <c r="N96" s="5" t="s">
        <v>257</v>
      </c>
      <c r="O96" s="5" t="s">
        <v>89</v>
      </c>
      <c r="P96" s="5" t="s">
        <v>89</v>
      </c>
      <c r="Q96" s="3" t="s">
        <v>94</v>
      </c>
      <c r="R96" s="3" t="s">
        <v>95</v>
      </c>
    </row>
    <row r="97" spans="1:18" ht="46" customHeight="1">
      <c r="A97" s="9">
        <v>92</v>
      </c>
      <c r="B97" s="5" t="s">
        <v>639</v>
      </c>
      <c r="C97" s="5" t="s">
        <v>25</v>
      </c>
      <c r="D97" s="5" t="s">
        <v>637</v>
      </c>
      <c r="E97" s="5" t="s">
        <v>14</v>
      </c>
      <c r="F97" s="5" t="s">
        <v>253</v>
      </c>
      <c r="G97" s="5"/>
      <c r="H97" s="3" t="s">
        <v>640</v>
      </c>
      <c r="I97" s="3" t="s">
        <v>641</v>
      </c>
      <c r="J97" s="5" t="s">
        <v>48</v>
      </c>
      <c r="K97" s="7">
        <v>0.5585</v>
      </c>
      <c r="L97" s="11" t="s">
        <v>7</v>
      </c>
      <c r="M97" s="11" t="s">
        <v>264</v>
      </c>
      <c r="N97" s="5" t="s">
        <v>257</v>
      </c>
      <c r="O97" s="5" t="s">
        <v>642</v>
      </c>
      <c r="P97" s="5" t="s">
        <v>642</v>
      </c>
      <c r="Q97" s="3" t="s">
        <v>643</v>
      </c>
      <c r="R97" s="3" t="s">
        <v>267</v>
      </c>
    </row>
    <row r="98" spans="1:18" ht="46" customHeight="1">
      <c r="A98" s="9">
        <v>93</v>
      </c>
      <c r="B98" s="5" t="s">
        <v>644</v>
      </c>
      <c r="C98" s="5" t="s">
        <v>25</v>
      </c>
      <c r="D98" s="5" t="s">
        <v>637</v>
      </c>
      <c r="E98" s="5" t="s">
        <v>14</v>
      </c>
      <c r="F98" s="5" t="s">
        <v>253</v>
      </c>
      <c r="G98" s="5"/>
      <c r="H98" s="3" t="s">
        <v>645</v>
      </c>
      <c r="I98" s="3" t="s">
        <v>646</v>
      </c>
      <c r="J98" s="5" t="s">
        <v>48</v>
      </c>
      <c r="K98" s="7">
        <v>0.1229</v>
      </c>
      <c r="L98" s="11" t="s">
        <v>7</v>
      </c>
      <c r="M98" s="11" t="s">
        <v>264</v>
      </c>
      <c r="N98" s="5" t="s">
        <v>257</v>
      </c>
      <c r="O98" s="5" t="s">
        <v>647</v>
      </c>
      <c r="P98" s="5" t="s">
        <v>647</v>
      </c>
      <c r="Q98" s="3" t="s">
        <v>648</v>
      </c>
      <c r="R98" s="3" t="s">
        <v>267</v>
      </c>
    </row>
    <row r="99" spans="1:18" ht="46" customHeight="1">
      <c r="A99" s="9">
        <v>94</v>
      </c>
      <c r="B99" s="5" t="s">
        <v>649</v>
      </c>
      <c r="C99" s="5" t="s">
        <v>25</v>
      </c>
      <c r="D99" s="5" t="s">
        <v>637</v>
      </c>
      <c r="E99" s="5" t="s">
        <v>14</v>
      </c>
      <c r="F99" s="5" t="s">
        <v>253</v>
      </c>
      <c r="G99" s="5"/>
      <c r="H99" s="3" t="s">
        <v>650</v>
      </c>
      <c r="I99" s="3" t="s">
        <v>651</v>
      </c>
      <c r="J99" s="5" t="s">
        <v>48</v>
      </c>
      <c r="K99" s="7">
        <v>2.5899999999999999E-2</v>
      </c>
      <c r="L99" s="11" t="s">
        <v>7</v>
      </c>
      <c r="M99" s="11" t="s">
        <v>256</v>
      </c>
      <c r="N99" s="5" t="s">
        <v>257</v>
      </c>
      <c r="O99" s="5" t="s">
        <v>89</v>
      </c>
      <c r="P99" s="5" t="s">
        <v>89</v>
      </c>
      <c r="Q99" s="3" t="s">
        <v>371</v>
      </c>
      <c r="R99" s="3" t="s">
        <v>260</v>
      </c>
    </row>
    <row r="100" spans="1:18" ht="46" customHeight="1">
      <c r="A100" s="9">
        <v>95</v>
      </c>
      <c r="B100" s="5" t="s">
        <v>652</v>
      </c>
      <c r="C100" s="5" t="s">
        <v>25</v>
      </c>
      <c r="D100" s="5" t="s">
        <v>637</v>
      </c>
      <c r="E100" s="5" t="s">
        <v>16</v>
      </c>
      <c r="F100" s="5" t="s">
        <v>261</v>
      </c>
      <c r="G100" s="5"/>
      <c r="H100" s="3" t="s">
        <v>653</v>
      </c>
      <c r="I100" s="3" t="s">
        <v>654</v>
      </c>
      <c r="J100" s="5" t="s">
        <v>48</v>
      </c>
      <c r="K100" s="7">
        <v>0.42070000000000002</v>
      </c>
      <c r="L100" s="11" t="s">
        <v>7</v>
      </c>
      <c r="M100" s="11" t="s">
        <v>256</v>
      </c>
      <c r="N100" s="5" t="s">
        <v>257</v>
      </c>
      <c r="O100" s="5" t="s">
        <v>336</v>
      </c>
      <c r="P100" s="5" t="s">
        <v>336</v>
      </c>
      <c r="Q100" s="3" t="s">
        <v>368</v>
      </c>
      <c r="R100" s="3" t="s">
        <v>260</v>
      </c>
    </row>
    <row r="101" spans="1:18" ht="46" customHeight="1">
      <c r="A101" s="9">
        <v>96</v>
      </c>
      <c r="B101" s="5" t="s">
        <v>655</v>
      </c>
      <c r="C101" s="5" t="s">
        <v>25</v>
      </c>
      <c r="D101" s="5" t="s">
        <v>637</v>
      </c>
      <c r="E101" s="5" t="s">
        <v>14</v>
      </c>
      <c r="F101" s="5" t="s">
        <v>253</v>
      </c>
      <c r="G101" s="5"/>
      <c r="H101" s="3" t="s">
        <v>656</v>
      </c>
      <c r="I101" s="3" t="s">
        <v>657</v>
      </c>
      <c r="J101" s="5" t="s">
        <v>48</v>
      </c>
      <c r="K101" s="7">
        <v>0.11169999999999999</v>
      </c>
      <c r="L101" s="11" t="s">
        <v>7</v>
      </c>
      <c r="M101" s="11" t="s">
        <v>256</v>
      </c>
      <c r="N101" s="5" t="s">
        <v>257</v>
      </c>
      <c r="O101" s="5" t="s">
        <v>63</v>
      </c>
      <c r="P101" s="5" t="s">
        <v>63</v>
      </c>
      <c r="Q101" s="3" t="s">
        <v>316</v>
      </c>
      <c r="R101" s="3" t="s">
        <v>260</v>
      </c>
    </row>
    <row r="102" spans="1:18" ht="46" customHeight="1">
      <c r="A102" s="9">
        <v>97</v>
      </c>
      <c r="B102" s="5" t="s">
        <v>658</v>
      </c>
      <c r="C102" s="5" t="s">
        <v>25</v>
      </c>
      <c r="D102" s="5" t="s">
        <v>637</v>
      </c>
      <c r="E102" s="5" t="s">
        <v>14</v>
      </c>
      <c r="F102" s="5" t="s">
        <v>261</v>
      </c>
      <c r="G102" s="5"/>
      <c r="H102" s="3" t="s">
        <v>659</v>
      </c>
      <c r="I102" s="3" t="s">
        <v>660</v>
      </c>
      <c r="J102" s="5" t="s">
        <v>48</v>
      </c>
      <c r="K102" s="7">
        <v>0.15379999999999999</v>
      </c>
      <c r="L102" s="11" t="s">
        <v>7</v>
      </c>
      <c r="M102" s="11" t="s">
        <v>256</v>
      </c>
      <c r="N102" s="5" t="s">
        <v>257</v>
      </c>
      <c r="O102" s="5" t="s">
        <v>661</v>
      </c>
      <c r="P102" s="5" t="s">
        <v>661</v>
      </c>
      <c r="Q102" s="3" t="s">
        <v>662</v>
      </c>
      <c r="R102" s="3" t="s">
        <v>260</v>
      </c>
    </row>
    <row r="103" spans="1:18" ht="46" customHeight="1">
      <c r="A103" s="9">
        <v>98</v>
      </c>
      <c r="B103" s="5" t="s">
        <v>663</v>
      </c>
      <c r="C103" s="5" t="s">
        <v>25</v>
      </c>
      <c r="D103" s="5" t="s">
        <v>637</v>
      </c>
      <c r="E103" s="5" t="s">
        <v>14</v>
      </c>
      <c r="F103" s="5" t="s">
        <v>253</v>
      </c>
      <c r="G103" s="5"/>
      <c r="H103" s="3" t="s">
        <v>664</v>
      </c>
      <c r="I103" s="3" t="s">
        <v>665</v>
      </c>
      <c r="J103" s="5" t="s">
        <v>48</v>
      </c>
      <c r="K103" s="7">
        <v>7.46E-2</v>
      </c>
      <c r="L103" s="11" t="s">
        <v>7</v>
      </c>
      <c r="M103" s="11" t="s">
        <v>256</v>
      </c>
      <c r="N103" s="5" t="s">
        <v>257</v>
      </c>
      <c r="O103" s="5" t="s">
        <v>360</v>
      </c>
      <c r="P103" s="5" t="s">
        <v>360</v>
      </c>
      <c r="Q103" s="3" t="s">
        <v>361</v>
      </c>
      <c r="R103" s="3" t="s">
        <v>260</v>
      </c>
    </row>
    <row r="104" spans="1:18" ht="46" customHeight="1">
      <c r="A104" s="9">
        <v>99</v>
      </c>
      <c r="B104" s="5" t="s">
        <v>666</v>
      </c>
      <c r="C104" s="5" t="s">
        <v>25</v>
      </c>
      <c r="D104" s="5" t="s">
        <v>637</v>
      </c>
      <c r="E104" s="5" t="s">
        <v>14</v>
      </c>
      <c r="F104" s="5" t="s">
        <v>261</v>
      </c>
      <c r="G104" s="5"/>
      <c r="H104" s="3" t="s">
        <v>667</v>
      </c>
      <c r="I104" s="3" t="s">
        <v>668</v>
      </c>
      <c r="J104" s="5" t="s">
        <v>48</v>
      </c>
      <c r="K104" s="7">
        <v>0.1318</v>
      </c>
      <c r="L104" s="11" t="s">
        <v>7</v>
      </c>
      <c r="M104" s="11" t="s">
        <v>264</v>
      </c>
      <c r="N104" s="5" t="s">
        <v>257</v>
      </c>
      <c r="O104" s="5" t="s">
        <v>669</v>
      </c>
      <c r="P104" s="5" t="s">
        <v>669</v>
      </c>
      <c r="Q104" s="3" t="s">
        <v>670</v>
      </c>
      <c r="R104" s="3" t="s">
        <v>267</v>
      </c>
    </row>
    <row r="105" spans="1:18" ht="46" customHeight="1">
      <c r="A105" s="9">
        <v>100</v>
      </c>
      <c r="B105" s="5" t="s">
        <v>96</v>
      </c>
      <c r="C105" s="5" t="s">
        <v>25</v>
      </c>
      <c r="D105" s="5" t="s">
        <v>637</v>
      </c>
      <c r="E105" s="5" t="s">
        <v>14</v>
      </c>
      <c r="F105" s="5" t="s">
        <v>261</v>
      </c>
      <c r="G105" s="5"/>
      <c r="H105" s="3" t="s">
        <v>97</v>
      </c>
      <c r="I105" s="3" t="s">
        <v>671</v>
      </c>
      <c r="J105" s="5" t="s">
        <v>48</v>
      </c>
      <c r="K105" s="7">
        <v>8.6900000000000005E-2</v>
      </c>
      <c r="L105" s="13" t="s">
        <v>8</v>
      </c>
      <c r="M105" s="13" t="s">
        <v>636</v>
      </c>
      <c r="N105" s="5" t="s">
        <v>257</v>
      </c>
      <c r="O105" s="5" t="s">
        <v>89</v>
      </c>
      <c r="P105" s="5" t="s">
        <v>89</v>
      </c>
      <c r="Q105" s="3" t="s">
        <v>98</v>
      </c>
      <c r="R105" s="3" t="s">
        <v>99</v>
      </c>
    </row>
    <row r="106" spans="1:18" ht="46" customHeight="1">
      <c r="A106" s="9">
        <v>101</v>
      </c>
      <c r="B106" s="5" t="s">
        <v>672</v>
      </c>
      <c r="C106" s="5" t="s">
        <v>25</v>
      </c>
      <c r="D106" s="5" t="s">
        <v>637</v>
      </c>
      <c r="E106" s="5" t="s">
        <v>14</v>
      </c>
      <c r="F106" s="5" t="s">
        <v>274</v>
      </c>
      <c r="G106" s="5"/>
      <c r="H106" s="3" t="s">
        <v>673</v>
      </c>
      <c r="I106" s="3" t="s">
        <v>674</v>
      </c>
      <c r="J106" s="5" t="s">
        <v>48</v>
      </c>
      <c r="K106" s="7">
        <v>0.24479999999999999</v>
      </c>
      <c r="L106" s="11" t="s">
        <v>7</v>
      </c>
      <c r="M106" s="11" t="s">
        <v>256</v>
      </c>
      <c r="N106" s="5" t="s">
        <v>257</v>
      </c>
      <c r="O106" s="5" t="s">
        <v>675</v>
      </c>
      <c r="P106" s="5" t="s">
        <v>675</v>
      </c>
      <c r="Q106" s="3" t="s">
        <v>676</v>
      </c>
      <c r="R106" s="3" t="s">
        <v>260</v>
      </c>
    </row>
    <row r="107" spans="1:18" ht="46" customHeight="1">
      <c r="A107" s="9">
        <v>102</v>
      </c>
      <c r="B107" s="5" t="s">
        <v>677</v>
      </c>
      <c r="C107" s="5" t="s">
        <v>25</v>
      </c>
      <c r="D107" s="5" t="s">
        <v>637</v>
      </c>
      <c r="E107" s="5" t="s">
        <v>14</v>
      </c>
      <c r="F107" s="5" t="s">
        <v>261</v>
      </c>
      <c r="G107" s="5"/>
      <c r="H107" s="3" t="s">
        <v>678</v>
      </c>
      <c r="I107" s="3" t="s">
        <v>679</v>
      </c>
      <c r="J107" s="5" t="s">
        <v>48</v>
      </c>
      <c r="K107" s="7">
        <v>0.13159999999999999</v>
      </c>
      <c r="L107" s="11" t="s">
        <v>7</v>
      </c>
      <c r="M107" s="11" t="s">
        <v>264</v>
      </c>
      <c r="N107" s="5" t="s">
        <v>257</v>
      </c>
      <c r="O107" s="5" t="s">
        <v>680</v>
      </c>
      <c r="P107" s="5" t="s">
        <v>680</v>
      </c>
      <c r="Q107" s="3" t="s">
        <v>681</v>
      </c>
      <c r="R107" s="3" t="s">
        <v>267</v>
      </c>
    </row>
    <row r="108" spans="1:18" ht="46" customHeight="1">
      <c r="A108" s="9">
        <v>103</v>
      </c>
      <c r="B108" s="5" t="s">
        <v>682</v>
      </c>
      <c r="C108" s="5" t="s">
        <v>25</v>
      </c>
      <c r="D108" s="5" t="s">
        <v>637</v>
      </c>
      <c r="E108" s="5" t="s">
        <v>14</v>
      </c>
      <c r="F108" s="5" t="s">
        <v>253</v>
      </c>
      <c r="G108" s="5"/>
      <c r="H108" s="3" t="s">
        <v>683</v>
      </c>
      <c r="I108" s="3" t="s">
        <v>684</v>
      </c>
      <c r="J108" s="5" t="s">
        <v>48</v>
      </c>
      <c r="K108" s="7">
        <v>0.1115</v>
      </c>
      <c r="L108" s="11" t="s">
        <v>7</v>
      </c>
      <c r="M108" s="11" t="s">
        <v>264</v>
      </c>
      <c r="N108" s="5" t="s">
        <v>257</v>
      </c>
      <c r="O108" s="5" t="s">
        <v>50</v>
      </c>
      <c r="P108" s="5" t="s">
        <v>50</v>
      </c>
      <c r="Q108" s="3" t="s">
        <v>685</v>
      </c>
      <c r="R108" s="3" t="s">
        <v>267</v>
      </c>
    </row>
    <row r="109" spans="1:18" ht="46" customHeight="1">
      <c r="A109" s="9">
        <v>104</v>
      </c>
      <c r="B109" s="5" t="s">
        <v>686</v>
      </c>
      <c r="C109" s="5" t="s">
        <v>25</v>
      </c>
      <c r="D109" s="5" t="s">
        <v>637</v>
      </c>
      <c r="E109" s="5" t="s">
        <v>16</v>
      </c>
      <c r="F109" s="5" t="s">
        <v>261</v>
      </c>
      <c r="G109" s="5"/>
      <c r="H109" s="3" t="s">
        <v>687</v>
      </c>
      <c r="I109" s="3" t="s">
        <v>688</v>
      </c>
      <c r="J109" s="5" t="s">
        <v>48</v>
      </c>
      <c r="K109" s="7">
        <v>0.06</v>
      </c>
      <c r="L109" s="11" t="s">
        <v>7</v>
      </c>
      <c r="M109" s="11" t="s">
        <v>256</v>
      </c>
      <c r="N109" s="5" t="s">
        <v>257</v>
      </c>
      <c r="O109" s="5" t="s">
        <v>443</v>
      </c>
      <c r="P109" s="5" t="s">
        <v>443</v>
      </c>
      <c r="Q109" s="3" t="s">
        <v>444</v>
      </c>
      <c r="R109" s="3" t="s">
        <v>260</v>
      </c>
    </row>
    <row r="110" spans="1:18" ht="46" customHeight="1">
      <c r="A110" s="9">
        <v>105</v>
      </c>
      <c r="B110" s="5" t="s">
        <v>689</v>
      </c>
      <c r="C110" s="5" t="s">
        <v>25</v>
      </c>
      <c r="D110" s="5" t="s">
        <v>637</v>
      </c>
      <c r="E110" s="5" t="s">
        <v>14</v>
      </c>
      <c r="F110" s="5" t="s">
        <v>261</v>
      </c>
      <c r="G110" s="5"/>
      <c r="H110" s="3" t="s">
        <v>690</v>
      </c>
      <c r="I110" s="3" t="s">
        <v>691</v>
      </c>
      <c r="J110" s="5" t="s">
        <v>48</v>
      </c>
      <c r="K110" s="7">
        <v>8.5800000000000001E-2</v>
      </c>
      <c r="L110" s="11" t="s">
        <v>7</v>
      </c>
      <c r="M110" s="11" t="s">
        <v>256</v>
      </c>
      <c r="N110" s="5" t="s">
        <v>257</v>
      </c>
      <c r="O110" s="5" t="s">
        <v>692</v>
      </c>
      <c r="P110" s="5" t="s">
        <v>692</v>
      </c>
      <c r="Q110" s="3" t="s">
        <v>693</v>
      </c>
      <c r="R110" s="3" t="s">
        <v>260</v>
      </c>
    </row>
    <row r="111" spans="1:18" ht="46" customHeight="1">
      <c r="A111" s="9">
        <v>106</v>
      </c>
      <c r="B111" s="5" t="s">
        <v>694</v>
      </c>
      <c r="C111" s="5" t="s">
        <v>25</v>
      </c>
      <c r="D111" s="5" t="s">
        <v>695</v>
      </c>
      <c r="E111" s="5" t="s">
        <v>16</v>
      </c>
      <c r="F111" s="5" t="s">
        <v>274</v>
      </c>
      <c r="G111" s="5"/>
      <c r="H111" s="3" t="s">
        <v>696</v>
      </c>
      <c r="I111" s="3" t="s">
        <v>697</v>
      </c>
      <c r="J111" s="5" t="s">
        <v>48</v>
      </c>
      <c r="K111" s="7">
        <v>1.1278999999999999</v>
      </c>
      <c r="L111" s="11" t="s">
        <v>7</v>
      </c>
      <c r="M111" s="11" t="s">
        <v>256</v>
      </c>
      <c r="N111" s="5" t="s">
        <v>257</v>
      </c>
      <c r="O111" s="5" t="s">
        <v>325</v>
      </c>
      <c r="P111" s="5" t="s">
        <v>325</v>
      </c>
      <c r="Q111" s="3" t="s">
        <v>346</v>
      </c>
      <c r="R111" s="3" t="s">
        <v>260</v>
      </c>
    </row>
    <row r="112" spans="1:18" ht="46" customHeight="1">
      <c r="A112" s="9">
        <v>107</v>
      </c>
      <c r="B112" s="5" t="s">
        <v>100</v>
      </c>
      <c r="C112" s="5" t="s">
        <v>25</v>
      </c>
      <c r="D112" s="5" t="s">
        <v>695</v>
      </c>
      <c r="E112" s="5" t="s">
        <v>14</v>
      </c>
      <c r="F112" s="5" t="s">
        <v>274</v>
      </c>
      <c r="G112" s="5"/>
      <c r="H112" s="3" t="s">
        <v>101</v>
      </c>
      <c r="I112" s="3" t="s">
        <v>698</v>
      </c>
      <c r="J112" s="5" t="s">
        <v>48</v>
      </c>
      <c r="K112" s="7">
        <v>0.1628</v>
      </c>
      <c r="L112" s="13" t="s">
        <v>8</v>
      </c>
      <c r="M112" s="13" t="s">
        <v>636</v>
      </c>
      <c r="N112" s="5" t="s">
        <v>257</v>
      </c>
      <c r="O112" s="5" t="s">
        <v>89</v>
      </c>
      <c r="P112" s="5" t="s">
        <v>89</v>
      </c>
      <c r="Q112" s="3" t="s">
        <v>102</v>
      </c>
      <c r="R112" s="3" t="s">
        <v>103</v>
      </c>
    </row>
    <row r="113" spans="1:18" ht="46" customHeight="1">
      <c r="A113" s="9">
        <v>108</v>
      </c>
      <c r="B113" s="5" t="s">
        <v>699</v>
      </c>
      <c r="C113" s="5" t="s">
        <v>25</v>
      </c>
      <c r="D113" s="5" t="s">
        <v>695</v>
      </c>
      <c r="E113" s="5" t="s">
        <v>14</v>
      </c>
      <c r="F113" s="5" t="s">
        <v>261</v>
      </c>
      <c r="G113" s="5"/>
      <c r="H113" s="3" t="s">
        <v>700</v>
      </c>
      <c r="I113" s="3" t="s">
        <v>701</v>
      </c>
      <c r="J113" s="5" t="s">
        <v>48</v>
      </c>
      <c r="K113" s="7">
        <v>0.22839999999999999</v>
      </c>
      <c r="L113" s="11" t="s">
        <v>7</v>
      </c>
      <c r="M113" s="11" t="s">
        <v>256</v>
      </c>
      <c r="N113" s="5" t="s">
        <v>257</v>
      </c>
      <c r="O113" s="5" t="s">
        <v>355</v>
      </c>
      <c r="P113" s="5" t="s">
        <v>355</v>
      </c>
      <c r="Q113" s="3" t="s">
        <v>356</v>
      </c>
      <c r="R113" s="3" t="s">
        <v>260</v>
      </c>
    </row>
    <row r="114" spans="1:18" ht="46" customHeight="1">
      <c r="A114" s="9">
        <v>109</v>
      </c>
      <c r="B114" s="5" t="s">
        <v>702</v>
      </c>
      <c r="C114" s="5" t="s">
        <v>25</v>
      </c>
      <c r="D114" s="5" t="s">
        <v>695</v>
      </c>
      <c r="E114" s="5" t="s">
        <v>14</v>
      </c>
      <c r="F114" s="5" t="s">
        <v>274</v>
      </c>
      <c r="G114" s="5"/>
      <c r="H114" s="3" t="s">
        <v>703</v>
      </c>
      <c r="I114" s="3" t="s">
        <v>704</v>
      </c>
      <c r="J114" s="5" t="s">
        <v>48</v>
      </c>
      <c r="K114" s="7">
        <v>0.4</v>
      </c>
      <c r="L114" s="11" t="s">
        <v>7</v>
      </c>
      <c r="M114" s="11" t="s">
        <v>264</v>
      </c>
      <c r="N114" s="5" t="s">
        <v>257</v>
      </c>
      <c r="O114" s="5" t="s">
        <v>705</v>
      </c>
      <c r="P114" s="5" t="s">
        <v>705</v>
      </c>
      <c r="Q114" s="3" t="s">
        <v>706</v>
      </c>
      <c r="R114" s="3" t="s">
        <v>267</v>
      </c>
    </row>
    <row r="115" spans="1:18" ht="46" customHeight="1">
      <c r="A115" s="9">
        <v>110</v>
      </c>
      <c r="B115" s="5" t="s">
        <v>707</v>
      </c>
      <c r="C115" s="5" t="s">
        <v>25</v>
      </c>
      <c r="D115" s="5" t="s">
        <v>695</v>
      </c>
      <c r="E115" s="5" t="s">
        <v>14</v>
      </c>
      <c r="F115" s="5" t="s">
        <v>274</v>
      </c>
      <c r="G115" s="5"/>
      <c r="H115" s="3" t="s">
        <v>708</v>
      </c>
      <c r="I115" s="3" t="s">
        <v>709</v>
      </c>
      <c r="J115" s="5" t="s">
        <v>48</v>
      </c>
      <c r="K115" s="7">
        <v>0.17150000000000001</v>
      </c>
      <c r="L115" s="11" t="s">
        <v>7</v>
      </c>
      <c r="M115" s="11" t="s">
        <v>264</v>
      </c>
      <c r="N115" s="5" t="s">
        <v>257</v>
      </c>
      <c r="O115" s="5" t="s">
        <v>710</v>
      </c>
      <c r="P115" s="5" t="s">
        <v>710</v>
      </c>
      <c r="Q115" s="3" t="s">
        <v>711</v>
      </c>
      <c r="R115" s="3" t="s">
        <v>267</v>
      </c>
    </row>
    <row r="116" spans="1:18" ht="46" customHeight="1">
      <c r="A116" s="9">
        <v>111</v>
      </c>
      <c r="B116" s="5" t="s">
        <v>712</v>
      </c>
      <c r="C116" s="5" t="s">
        <v>25</v>
      </c>
      <c r="D116" s="5" t="s">
        <v>695</v>
      </c>
      <c r="E116" s="5" t="s">
        <v>16</v>
      </c>
      <c r="F116" s="5" t="s">
        <v>274</v>
      </c>
      <c r="G116" s="5"/>
      <c r="H116" s="3" t="s">
        <v>713</v>
      </c>
      <c r="I116" s="3" t="s">
        <v>714</v>
      </c>
      <c r="J116" s="5" t="s">
        <v>48</v>
      </c>
      <c r="K116" s="7">
        <v>1.1113</v>
      </c>
      <c r="L116" s="11" t="s">
        <v>7</v>
      </c>
      <c r="M116" s="11" t="s">
        <v>256</v>
      </c>
      <c r="N116" s="5" t="s">
        <v>257</v>
      </c>
      <c r="O116" s="5" t="s">
        <v>443</v>
      </c>
      <c r="P116" s="5" t="s">
        <v>443</v>
      </c>
      <c r="Q116" s="3" t="s">
        <v>444</v>
      </c>
      <c r="R116" s="3" t="s">
        <v>260</v>
      </c>
    </row>
    <row r="117" spans="1:18" ht="46" customHeight="1">
      <c r="A117" s="9">
        <v>112</v>
      </c>
      <c r="B117" s="5" t="s">
        <v>715</v>
      </c>
      <c r="C117" s="5" t="s">
        <v>25</v>
      </c>
      <c r="D117" s="5" t="s">
        <v>695</v>
      </c>
      <c r="E117" s="5" t="s">
        <v>14</v>
      </c>
      <c r="F117" s="5" t="s">
        <v>274</v>
      </c>
      <c r="G117" s="5"/>
      <c r="H117" s="3" t="s">
        <v>716</v>
      </c>
      <c r="I117" s="3" t="s">
        <v>717</v>
      </c>
      <c r="J117" s="5" t="s">
        <v>48</v>
      </c>
      <c r="K117" s="7">
        <v>0.29580000000000001</v>
      </c>
      <c r="L117" s="11" t="s">
        <v>7</v>
      </c>
      <c r="M117" s="11" t="s">
        <v>256</v>
      </c>
      <c r="N117" s="5" t="s">
        <v>257</v>
      </c>
      <c r="O117" s="5" t="s">
        <v>89</v>
      </c>
      <c r="P117" s="5" t="s">
        <v>89</v>
      </c>
      <c r="Q117" s="3" t="s">
        <v>371</v>
      </c>
      <c r="R117" s="3" t="s">
        <v>260</v>
      </c>
    </row>
    <row r="118" spans="1:18" ht="46" customHeight="1">
      <c r="A118" s="9">
        <v>113</v>
      </c>
      <c r="B118" s="5" t="s">
        <v>718</v>
      </c>
      <c r="C118" s="5" t="s">
        <v>25</v>
      </c>
      <c r="D118" s="5" t="s">
        <v>695</v>
      </c>
      <c r="E118" s="5" t="s">
        <v>16</v>
      </c>
      <c r="F118" s="5" t="s">
        <v>274</v>
      </c>
      <c r="G118" s="5"/>
      <c r="H118" s="3" t="s">
        <v>719</v>
      </c>
      <c r="I118" s="3" t="s">
        <v>720</v>
      </c>
      <c r="J118" s="5" t="s">
        <v>48</v>
      </c>
      <c r="K118" s="7">
        <v>1.2331000000000001</v>
      </c>
      <c r="L118" s="11" t="s">
        <v>7</v>
      </c>
      <c r="M118" s="11" t="s">
        <v>256</v>
      </c>
      <c r="N118" s="5" t="s">
        <v>257</v>
      </c>
      <c r="O118" s="5" t="s">
        <v>721</v>
      </c>
      <c r="P118" s="5" t="s">
        <v>721</v>
      </c>
      <c r="Q118" s="3" t="s">
        <v>722</v>
      </c>
      <c r="R118" s="3" t="s">
        <v>260</v>
      </c>
    </row>
    <row r="119" spans="1:18" ht="46" customHeight="1">
      <c r="A119" s="9">
        <v>114</v>
      </c>
      <c r="B119" s="5" t="s">
        <v>723</v>
      </c>
      <c r="C119" s="5" t="s">
        <v>25</v>
      </c>
      <c r="D119" s="5" t="s">
        <v>695</v>
      </c>
      <c r="E119" s="5" t="s">
        <v>16</v>
      </c>
      <c r="F119" s="5" t="s">
        <v>274</v>
      </c>
      <c r="G119" s="5"/>
      <c r="H119" s="3" t="s">
        <v>724</v>
      </c>
      <c r="I119" s="3" t="s">
        <v>725</v>
      </c>
      <c r="J119" s="5" t="s">
        <v>48</v>
      </c>
      <c r="K119" s="7">
        <v>0.67400000000000004</v>
      </c>
      <c r="L119" s="11" t="s">
        <v>7</v>
      </c>
      <c r="M119" s="11" t="s">
        <v>256</v>
      </c>
      <c r="N119" s="5" t="s">
        <v>257</v>
      </c>
      <c r="O119" s="5" t="s">
        <v>360</v>
      </c>
      <c r="P119" s="5" t="s">
        <v>360</v>
      </c>
      <c r="Q119" s="3" t="s">
        <v>361</v>
      </c>
      <c r="R119" s="3" t="s">
        <v>260</v>
      </c>
    </row>
    <row r="120" spans="1:18" ht="46" customHeight="1">
      <c r="A120" s="9">
        <v>115</v>
      </c>
      <c r="B120" s="5" t="s">
        <v>104</v>
      </c>
      <c r="C120" s="5" t="s">
        <v>25</v>
      </c>
      <c r="D120" s="5" t="s">
        <v>695</v>
      </c>
      <c r="E120" s="5" t="s">
        <v>14</v>
      </c>
      <c r="F120" s="5" t="s">
        <v>261</v>
      </c>
      <c r="G120" s="5"/>
      <c r="H120" s="3" t="s">
        <v>105</v>
      </c>
      <c r="I120" s="3" t="s">
        <v>726</v>
      </c>
      <c r="J120" s="5" t="s">
        <v>48</v>
      </c>
      <c r="K120" s="7">
        <v>0.12809999999999999</v>
      </c>
      <c r="L120" s="13" t="s">
        <v>8</v>
      </c>
      <c r="M120" s="13" t="s">
        <v>636</v>
      </c>
      <c r="N120" s="5" t="s">
        <v>257</v>
      </c>
      <c r="O120" s="5" t="s">
        <v>63</v>
      </c>
      <c r="P120" s="5" t="s">
        <v>63</v>
      </c>
      <c r="Q120" s="3" t="s">
        <v>106</v>
      </c>
      <c r="R120" s="3" t="s">
        <v>107</v>
      </c>
    </row>
    <row r="121" spans="1:18" ht="46" customHeight="1">
      <c r="A121" s="9">
        <v>116</v>
      </c>
      <c r="B121" s="5" t="s">
        <v>727</v>
      </c>
      <c r="C121" s="5" t="s">
        <v>25</v>
      </c>
      <c r="D121" s="5" t="s">
        <v>695</v>
      </c>
      <c r="E121" s="5" t="s">
        <v>14</v>
      </c>
      <c r="F121" s="5" t="s">
        <v>274</v>
      </c>
      <c r="G121" s="5"/>
      <c r="H121" s="3" t="s">
        <v>728</v>
      </c>
      <c r="I121" s="3" t="s">
        <v>729</v>
      </c>
      <c r="J121" s="5" t="s">
        <v>48</v>
      </c>
      <c r="K121" s="7">
        <v>3.4365000000000001</v>
      </c>
      <c r="L121" s="11" t="s">
        <v>7</v>
      </c>
      <c r="M121" s="11" t="s">
        <v>256</v>
      </c>
      <c r="N121" s="5" t="s">
        <v>257</v>
      </c>
      <c r="O121" s="5" t="s">
        <v>336</v>
      </c>
      <c r="P121" s="5" t="s">
        <v>336</v>
      </c>
      <c r="Q121" s="3" t="s">
        <v>368</v>
      </c>
      <c r="R121" s="3" t="s">
        <v>260</v>
      </c>
    </row>
    <row r="122" spans="1:18" ht="46" customHeight="1">
      <c r="A122" s="9">
        <v>117</v>
      </c>
      <c r="B122" s="5" t="s">
        <v>730</v>
      </c>
      <c r="C122" s="5" t="s">
        <v>25</v>
      </c>
      <c r="D122" s="5" t="s">
        <v>695</v>
      </c>
      <c r="E122" s="5" t="s">
        <v>14</v>
      </c>
      <c r="F122" s="5" t="s">
        <v>261</v>
      </c>
      <c r="G122" s="5"/>
      <c r="H122" s="3" t="s">
        <v>731</v>
      </c>
      <c r="I122" s="3" t="s">
        <v>732</v>
      </c>
      <c r="J122" s="5" t="s">
        <v>48</v>
      </c>
      <c r="K122" s="7">
        <v>0.3417</v>
      </c>
      <c r="L122" s="11" t="s">
        <v>7</v>
      </c>
      <c r="M122" s="11" t="s">
        <v>256</v>
      </c>
      <c r="N122" s="5" t="s">
        <v>257</v>
      </c>
      <c r="O122" s="5" t="s">
        <v>669</v>
      </c>
      <c r="P122" s="5" t="s">
        <v>669</v>
      </c>
      <c r="Q122" s="3" t="s">
        <v>733</v>
      </c>
      <c r="R122" s="3" t="s">
        <v>260</v>
      </c>
    </row>
    <row r="123" spans="1:18" ht="46" customHeight="1">
      <c r="A123" s="9">
        <v>118</v>
      </c>
      <c r="B123" s="5" t="s">
        <v>734</v>
      </c>
      <c r="C123" s="5" t="s">
        <v>25</v>
      </c>
      <c r="D123" s="5" t="s">
        <v>695</v>
      </c>
      <c r="E123" s="5" t="s">
        <v>14</v>
      </c>
      <c r="F123" s="5" t="s">
        <v>261</v>
      </c>
      <c r="G123" s="5"/>
      <c r="H123" s="3" t="s">
        <v>735</v>
      </c>
      <c r="I123" s="3" t="s">
        <v>736</v>
      </c>
      <c r="J123" s="5" t="s">
        <v>48</v>
      </c>
      <c r="K123" s="7">
        <v>0.31040000000000001</v>
      </c>
      <c r="L123" s="11" t="s">
        <v>7</v>
      </c>
      <c r="M123" s="11" t="s">
        <v>256</v>
      </c>
      <c r="N123" s="5" t="s">
        <v>257</v>
      </c>
      <c r="O123" s="5" t="s">
        <v>336</v>
      </c>
      <c r="P123" s="5" t="s">
        <v>336</v>
      </c>
      <c r="Q123" s="3" t="s">
        <v>368</v>
      </c>
      <c r="R123" s="3" t="s">
        <v>260</v>
      </c>
    </row>
    <row r="124" spans="1:18" ht="46" customHeight="1">
      <c r="A124" s="9">
        <v>119</v>
      </c>
      <c r="B124" s="5" t="s">
        <v>737</v>
      </c>
      <c r="C124" s="5" t="s">
        <v>25</v>
      </c>
      <c r="D124" s="5" t="s">
        <v>695</v>
      </c>
      <c r="E124" s="5" t="s">
        <v>16</v>
      </c>
      <c r="F124" s="5" t="s">
        <v>274</v>
      </c>
      <c r="G124" s="5"/>
      <c r="H124" s="3" t="s">
        <v>738</v>
      </c>
      <c r="I124" s="3" t="s">
        <v>739</v>
      </c>
      <c r="J124" s="5" t="s">
        <v>48</v>
      </c>
      <c r="K124" s="7">
        <v>0.42530000000000001</v>
      </c>
      <c r="L124" s="11" t="s">
        <v>7</v>
      </c>
      <c r="M124" s="11" t="s">
        <v>256</v>
      </c>
      <c r="N124" s="5" t="s">
        <v>257</v>
      </c>
      <c r="O124" s="5" t="s">
        <v>360</v>
      </c>
      <c r="P124" s="5" t="s">
        <v>360</v>
      </c>
      <c r="Q124" s="3" t="s">
        <v>361</v>
      </c>
      <c r="R124" s="3" t="s">
        <v>260</v>
      </c>
    </row>
    <row r="125" spans="1:18" ht="46" customHeight="1">
      <c r="A125" s="9">
        <v>120</v>
      </c>
      <c r="B125" s="5" t="s">
        <v>740</v>
      </c>
      <c r="C125" s="5" t="s">
        <v>25</v>
      </c>
      <c r="D125" s="5" t="s">
        <v>695</v>
      </c>
      <c r="E125" s="5" t="s">
        <v>14</v>
      </c>
      <c r="F125" s="5" t="s">
        <v>261</v>
      </c>
      <c r="G125" s="5"/>
      <c r="H125" s="3" t="s">
        <v>741</v>
      </c>
      <c r="I125" s="3" t="s">
        <v>742</v>
      </c>
      <c r="J125" s="5" t="s">
        <v>48</v>
      </c>
      <c r="K125" s="7">
        <v>0.24229999999999999</v>
      </c>
      <c r="L125" s="11" t="s">
        <v>7</v>
      </c>
      <c r="M125" s="11" t="s">
        <v>256</v>
      </c>
      <c r="N125" s="5" t="s">
        <v>257</v>
      </c>
      <c r="O125" s="5" t="s">
        <v>403</v>
      </c>
      <c r="P125" s="5" t="s">
        <v>403</v>
      </c>
      <c r="Q125" s="3" t="s">
        <v>404</v>
      </c>
      <c r="R125" s="3" t="s">
        <v>260</v>
      </c>
    </row>
    <row r="126" spans="1:18" ht="46" customHeight="1">
      <c r="A126" s="9">
        <v>121</v>
      </c>
      <c r="B126" s="5" t="s">
        <v>743</v>
      </c>
      <c r="C126" s="5" t="s">
        <v>25</v>
      </c>
      <c r="D126" s="5" t="s">
        <v>744</v>
      </c>
      <c r="E126" s="5" t="s">
        <v>14</v>
      </c>
      <c r="F126" s="5" t="s">
        <v>274</v>
      </c>
      <c r="G126" s="5"/>
      <c r="H126" s="3" t="s">
        <v>745</v>
      </c>
      <c r="I126" s="3" t="s">
        <v>746</v>
      </c>
      <c r="J126" s="5" t="s">
        <v>48</v>
      </c>
      <c r="K126" s="7">
        <v>0.15709999999999999</v>
      </c>
      <c r="L126" s="11" t="s">
        <v>7</v>
      </c>
      <c r="M126" s="11" t="s">
        <v>256</v>
      </c>
      <c r="N126" s="5" t="s">
        <v>257</v>
      </c>
      <c r="O126" s="5" t="s">
        <v>465</v>
      </c>
      <c r="P126" s="5" t="s">
        <v>465</v>
      </c>
      <c r="Q126" s="3" t="s">
        <v>466</v>
      </c>
      <c r="R126" s="3" t="s">
        <v>260</v>
      </c>
    </row>
    <row r="127" spans="1:18" ht="46" customHeight="1">
      <c r="A127" s="9">
        <v>122</v>
      </c>
      <c r="B127" s="5" t="s">
        <v>747</v>
      </c>
      <c r="C127" s="5" t="s">
        <v>25</v>
      </c>
      <c r="D127" s="5" t="s">
        <v>744</v>
      </c>
      <c r="E127" s="5" t="s">
        <v>14</v>
      </c>
      <c r="F127" s="5" t="s">
        <v>274</v>
      </c>
      <c r="G127" s="5"/>
      <c r="H127" s="3" t="s">
        <v>748</v>
      </c>
      <c r="I127" s="3" t="s">
        <v>749</v>
      </c>
      <c r="J127" s="5" t="s">
        <v>48</v>
      </c>
      <c r="K127" s="7">
        <v>0.12139999999999999</v>
      </c>
      <c r="L127" s="11" t="s">
        <v>7</v>
      </c>
      <c r="M127" s="11" t="s">
        <v>256</v>
      </c>
      <c r="N127" s="5" t="s">
        <v>257</v>
      </c>
      <c r="O127" s="5" t="s">
        <v>465</v>
      </c>
      <c r="P127" s="5" t="s">
        <v>465</v>
      </c>
      <c r="Q127" s="3" t="s">
        <v>466</v>
      </c>
      <c r="R127" s="3" t="s">
        <v>260</v>
      </c>
    </row>
    <row r="128" spans="1:18" ht="46" customHeight="1">
      <c r="A128" s="9">
        <v>123</v>
      </c>
      <c r="B128" s="5" t="s">
        <v>750</v>
      </c>
      <c r="C128" s="5" t="s">
        <v>25</v>
      </c>
      <c r="D128" s="5" t="s">
        <v>744</v>
      </c>
      <c r="E128" s="5" t="s">
        <v>14</v>
      </c>
      <c r="F128" s="5" t="s">
        <v>274</v>
      </c>
      <c r="G128" s="5"/>
      <c r="H128" s="3" t="s">
        <v>751</v>
      </c>
      <c r="I128" s="3" t="s">
        <v>752</v>
      </c>
      <c r="J128" s="5" t="s">
        <v>48</v>
      </c>
      <c r="K128" s="7">
        <v>0.20830000000000001</v>
      </c>
      <c r="L128" s="11" t="s">
        <v>7</v>
      </c>
      <c r="M128" s="11" t="s">
        <v>264</v>
      </c>
      <c r="N128" s="5" t="s">
        <v>257</v>
      </c>
      <c r="O128" s="5" t="s">
        <v>669</v>
      </c>
      <c r="P128" s="5" t="s">
        <v>669</v>
      </c>
      <c r="Q128" s="3" t="s">
        <v>670</v>
      </c>
      <c r="R128" s="3" t="s">
        <v>267</v>
      </c>
    </row>
    <row r="129" spans="1:18" ht="46" customHeight="1">
      <c r="A129" s="9">
        <v>124</v>
      </c>
      <c r="B129" s="5" t="s">
        <v>753</v>
      </c>
      <c r="C129" s="5" t="s">
        <v>25</v>
      </c>
      <c r="D129" s="5" t="s">
        <v>744</v>
      </c>
      <c r="E129" s="5" t="s">
        <v>14</v>
      </c>
      <c r="F129" s="5" t="s">
        <v>261</v>
      </c>
      <c r="G129" s="5"/>
      <c r="H129" s="3" t="s">
        <v>754</v>
      </c>
      <c r="I129" s="3" t="s">
        <v>755</v>
      </c>
      <c r="J129" s="5" t="s">
        <v>48</v>
      </c>
      <c r="K129" s="7">
        <v>0.20710000000000001</v>
      </c>
      <c r="L129" s="11" t="s">
        <v>7</v>
      </c>
      <c r="M129" s="11" t="s">
        <v>256</v>
      </c>
      <c r="N129" s="5" t="s">
        <v>257</v>
      </c>
      <c r="O129" s="5" t="s">
        <v>403</v>
      </c>
      <c r="P129" s="5" t="s">
        <v>403</v>
      </c>
      <c r="Q129" s="3" t="s">
        <v>404</v>
      </c>
      <c r="R129" s="3" t="s">
        <v>260</v>
      </c>
    </row>
    <row r="130" spans="1:18" ht="46" customHeight="1">
      <c r="A130" s="9">
        <v>125</v>
      </c>
      <c r="B130" s="5" t="s">
        <v>756</v>
      </c>
      <c r="C130" s="5" t="s">
        <v>25</v>
      </c>
      <c r="D130" s="5" t="s">
        <v>744</v>
      </c>
      <c r="E130" s="5" t="s">
        <v>16</v>
      </c>
      <c r="F130" s="5" t="s">
        <v>274</v>
      </c>
      <c r="G130" s="5"/>
      <c r="H130" s="3" t="s">
        <v>757</v>
      </c>
      <c r="I130" s="3" t="s">
        <v>758</v>
      </c>
      <c r="J130" s="5" t="s">
        <v>48</v>
      </c>
      <c r="K130" s="7">
        <v>0.1265</v>
      </c>
      <c r="L130" s="11" t="s">
        <v>7</v>
      </c>
      <c r="M130" s="11" t="s">
        <v>256</v>
      </c>
      <c r="N130" s="5" t="s">
        <v>257</v>
      </c>
      <c r="O130" s="5" t="s">
        <v>759</v>
      </c>
      <c r="P130" s="5" t="s">
        <v>759</v>
      </c>
      <c r="Q130" s="3" t="s">
        <v>760</v>
      </c>
      <c r="R130" s="3" t="s">
        <v>260</v>
      </c>
    </row>
    <row r="131" spans="1:18" ht="46" customHeight="1">
      <c r="A131" s="9">
        <v>126</v>
      </c>
      <c r="B131" s="5" t="s">
        <v>761</v>
      </c>
      <c r="C131" s="5" t="s">
        <v>25</v>
      </c>
      <c r="D131" s="5" t="s">
        <v>744</v>
      </c>
      <c r="E131" s="5" t="s">
        <v>14</v>
      </c>
      <c r="F131" s="5" t="s">
        <v>274</v>
      </c>
      <c r="G131" s="5"/>
      <c r="H131" s="3" t="s">
        <v>762</v>
      </c>
      <c r="I131" s="3" t="s">
        <v>763</v>
      </c>
      <c r="J131" s="5" t="s">
        <v>48</v>
      </c>
      <c r="K131" s="7">
        <v>0.32390000000000002</v>
      </c>
      <c r="L131" s="11" t="s">
        <v>7</v>
      </c>
      <c r="M131" s="11" t="s">
        <v>256</v>
      </c>
      <c r="N131" s="5" t="s">
        <v>257</v>
      </c>
      <c r="O131" s="5" t="s">
        <v>465</v>
      </c>
      <c r="P131" s="5" t="s">
        <v>465</v>
      </c>
      <c r="Q131" s="3" t="s">
        <v>466</v>
      </c>
      <c r="R131" s="3" t="s">
        <v>260</v>
      </c>
    </row>
    <row r="132" spans="1:18" ht="46" customHeight="1">
      <c r="A132" s="9">
        <v>127</v>
      </c>
      <c r="B132" s="5" t="s">
        <v>764</v>
      </c>
      <c r="C132" s="5" t="s">
        <v>25</v>
      </c>
      <c r="D132" s="5" t="s">
        <v>744</v>
      </c>
      <c r="E132" s="5" t="s">
        <v>14</v>
      </c>
      <c r="F132" s="5" t="s">
        <v>253</v>
      </c>
      <c r="G132" s="5"/>
      <c r="H132" s="3" t="s">
        <v>765</v>
      </c>
      <c r="I132" s="3" t="s">
        <v>766</v>
      </c>
      <c r="J132" s="5" t="s">
        <v>48</v>
      </c>
      <c r="K132" s="7">
        <v>0.157</v>
      </c>
      <c r="L132" s="11" t="s">
        <v>7</v>
      </c>
      <c r="M132" s="11" t="s">
        <v>256</v>
      </c>
      <c r="N132" s="5" t="s">
        <v>257</v>
      </c>
      <c r="O132" s="5" t="s">
        <v>89</v>
      </c>
      <c r="P132" s="5" t="s">
        <v>89</v>
      </c>
      <c r="Q132" s="3" t="s">
        <v>371</v>
      </c>
      <c r="R132" s="3" t="s">
        <v>260</v>
      </c>
    </row>
    <row r="133" spans="1:18" ht="46" customHeight="1">
      <c r="A133" s="9">
        <v>128</v>
      </c>
      <c r="B133" s="5" t="s">
        <v>767</v>
      </c>
      <c r="C133" s="5" t="s">
        <v>25</v>
      </c>
      <c r="D133" s="5" t="s">
        <v>744</v>
      </c>
      <c r="E133" s="5" t="s">
        <v>16</v>
      </c>
      <c r="F133" s="5" t="s">
        <v>274</v>
      </c>
      <c r="G133" s="5"/>
      <c r="H133" s="3" t="s">
        <v>768</v>
      </c>
      <c r="I133" s="3" t="s">
        <v>769</v>
      </c>
      <c r="J133" s="5" t="s">
        <v>48</v>
      </c>
      <c r="K133" s="7">
        <v>0.33339999999999997</v>
      </c>
      <c r="L133" s="11" t="s">
        <v>7</v>
      </c>
      <c r="M133" s="11" t="s">
        <v>264</v>
      </c>
      <c r="N133" s="5" t="s">
        <v>257</v>
      </c>
      <c r="O133" s="5" t="s">
        <v>759</v>
      </c>
      <c r="P133" s="5" t="s">
        <v>759</v>
      </c>
      <c r="Q133" s="3" t="s">
        <v>770</v>
      </c>
      <c r="R133" s="3" t="s">
        <v>267</v>
      </c>
    </row>
    <row r="134" spans="1:18" ht="46" customHeight="1">
      <c r="A134" s="9">
        <v>129</v>
      </c>
      <c r="B134" s="5" t="s">
        <v>771</v>
      </c>
      <c r="C134" s="5" t="s">
        <v>25</v>
      </c>
      <c r="D134" s="5" t="s">
        <v>744</v>
      </c>
      <c r="E134" s="5" t="s">
        <v>14</v>
      </c>
      <c r="F134" s="5" t="s">
        <v>274</v>
      </c>
      <c r="G134" s="5"/>
      <c r="H134" s="3" t="s">
        <v>772</v>
      </c>
      <c r="I134" s="3" t="s">
        <v>773</v>
      </c>
      <c r="J134" s="5" t="s">
        <v>48</v>
      </c>
      <c r="K134" s="7">
        <v>0.60429999999999995</v>
      </c>
      <c r="L134" s="11" t="s">
        <v>7</v>
      </c>
      <c r="M134" s="11" t="s">
        <v>256</v>
      </c>
      <c r="N134" s="5" t="s">
        <v>257</v>
      </c>
      <c r="O134" s="5" t="s">
        <v>403</v>
      </c>
      <c r="P134" s="5" t="s">
        <v>403</v>
      </c>
      <c r="Q134" s="3" t="s">
        <v>404</v>
      </c>
      <c r="R134" s="3" t="s">
        <v>260</v>
      </c>
    </row>
    <row r="135" spans="1:18" ht="46" customHeight="1">
      <c r="A135" s="9">
        <v>130</v>
      </c>
      <c r="B135" s="5" t="s">
        <v>774</v>
      </c>
      <c r="C135" s="5" t="s">
        <v>25</v>
      </c>
      <c r="D135" s="5" t="s">
        <v>744</v>
      </c>
      <c r="E135" s="5" t="s">
        <v>14</v>
      </c>
      <c r="F135" s="5" t="s">
        <v>261</v>
      </c>
      <c r="G135" s="5"/>
      <c r="H135" s="3" t="s">
        <v>775</v>
      </c>
      <c r="I135" s="3" t="s">
        <v>776</v>
      </c>
      <c r="J135" s="5" t="s">
        <v>48</v>
      </c>
      <c r="K135" s="7">
        <v>0.25690000000000002</v>
      </c>
      <c r="L135" s="11" t="s">
        <v>7</v>
      </c>
      <c r="M135" s="11" t="s">
        <v>264</v>
      </c>
      <c r="N135" s="5" t="s">
        <v>257</v>
      </c>
      <c r="O135" s="5" t="s">
        <v>63</v>
      </c>
      <c r="P135" s="5" t="s">
        <v>63</v>
      </c>
      <c r="Q135" s="3" t="s">
        <v>777</v>
      </c>
      <c r="R135" s="3" t="s">
        <v>267</v>
      </c>
    </row>
    <row r="136" spans="1:18" ht="46" customHeight="1">
      <c r="A136" s="9">
        <v>131</v>
      </c>
      <c r="B136" s="5" t="s">
        <v>778</v>
      </c>
      <c r="C136" s="5" t="s">
        <v>25</v>
      </c>
      <c r="D136" s="5" t="s">
        <v>744</v>
      </c>
      <c r="E136" s="5" t="s">
        <v>14</v>
      </c>
      <c r="F136" s="5" t="s">
        <v>274</v>
      </c>
      <c r="G136" s="5"/>
      <c r="H136" s="3" t="s">
        <v>779</v>
      </c>
      <c r="I136" s="3" t="s">
        <v>780</v>
      </c>
      <c r="J136" s="5" t="s">
        <v>48</v>
      </c>
      <c r="K136" s="7">
        <v>0.19070000000000001</v>
      </c>
      <c r="L136" s="11" t="s">
        <v>7</v>
      </c>
      <c r="M136" s="11" t="s">
        <v>256</v>
      </c>
      <c r="N136" s="5" t="s">
        <v>257</v>
      </c>
      <c r="O136" s="5" t="s">
        <v>759</v>
      </c>
      <c r="P136" s="5" t="s">
        <v>759</v>
      </c>
      <c r="Q136" s="3" t="s">
        <v>760</v>
      </c>
      <c r="R136" s="3" t="s">
        <v>260</v>
      </c>
    </row>
    <row r="137" spans="1:18" ht="46" customHeight="1">
      <c r="A137" s="9">
        <v>132</v>
      </c>
      <c r="B137" s="5" t="s">
        <v>781</v>
      </c>
      <c r="C137" s="5" t="s">
        <v>25</v>
      </c>
      <c r="D137" s="5" t="s">
        <v>744</v>
      </c>
      <c r="E137" s="5" t="s">
        <v>14</v>
      </c>
      <c r="F137" s="5" t="s">
        <v>253</v>
      </c>
      <c r="G137" s="5"/>
      <c r="H137" s="3" t="s">
        <v>782</v>
      </c>
      <c r="I137" s="3" t="s">
        <v>783</v>
      </c>
      <c r="J137" s="5" t="s">
        <v>48</v>
      </c>
      <c r="K137" s="7">
        <v>4.9399999999999999E-2</v>
      </c>
      <c r="L137" s="11" t="s">
        <v>7</v>
      </c>
      <c r="M137" s="11" t="s">
        <v>256</v>
      </c>
      <c r="N137" s="5" t="s">
        <v>257</v>
      </c>
      <c r="O137" s="5" t="s">
        <v>89</v>
      </c>
      <c r="P137" s="5" t="s">
        <v>89</v>
      </c>
      <c r="Q137" s="3" t="s">
        <v>371</v>
      </c>
      <c r="R137" s="3" t="s">
        <v>260</v>
      </c>
    </row>
    <row r="138" spans="1:18" ht="46" customHeight="1">
      <c r="A138" s="9">
        <v>133</v>
      </c>
      <c r="B138" s="5" t="s">
        <v>784</v>
      </c>
      <c r="C138" s="5" t="s">
        <v>25</v>
      </c>
      <c r="D138" s="5" t="s">
        <v>744</v>
      </c>
      <c r="E138" s="5" t="s">
        <v>16</v>
      </c>
      <c r="F138" s="5" t="s">
        <v>274</v>
      </c>
      <c r="G138" s="5"/>
      <c r="H138" s="3" t="s">
        <v>785</v>
      </c>
      <c r="I138" s="3" t="s">
        <v>786</v>
      </c>
      <c r="J138" s="5" t="s">
        <v>48</v>
      </c>
      <c r="K138" s="7">
        <v>0.19489999999999999</v>
      </c>
      <c r="L138" s="11" t="s">
        <v>7</v>
      </c>
      <c r="M138" s="11" t="s">
        <v>256</v>
      </c>
      <c r="N138" s="5" t="s">
        <v>257</v>
      </c>
      <c r="O138" s="5" t="s">
        <v>465</v>
      </c>
      <c r="P138" s="5" t="s">
        <v>465</v>
      </c>
      <c r="Q138" s="3" t="s">
        <v>466</v>
      </c>
      <c r="R138" s="3" t="s">
        <v>260</v>
      </c>
    </row>
    <row r="139" spans="1:18" ht="46" customHeight="1">
      <c r="A139" s="9">
        <v>134</v>
      </c>
      <c r="B139" s="5" t="s">
        <v>787</v>
      </c>
      <c r="C139" s="5" t="s">
        <v>25</v>
      </c>
      <c r="D139" s="5" t="s">
        <v>744</v>
      </c>
      <c r="E139" s="5" t="s">
        <v>14</v>
      </c>
      <c r="F139" s="5" t="s">
        <v>261</v>
      </c>
      <c r="G139" s="5"/>
      <c r="H139" s="3" t="s">
        <v>788</v>
      </c>
      <c r="I139" s="3" t="s">
        <v>789</v>
      </c>
      <c r="J139" s="5" t="s">
        <v>48</v>
      </c>
      <c r="K139" s="7">
        <v>5.7799999999999997E-2</v>
      </c>
      <c r="L139" s="11" t="s">
        <v>7</v>
      </c>
      <c r="M139" s="11" t="s">
        <v>256</v>
      </c>
      <c r="N139" s="5" t="s">
        <v>257</v>
      </c>
      <c r="O139" s="5" t="s">
        <v>465</v>
      </c>
      <c r="P139" s="5" t="s">
        <v>465</v>
      </c>
      <c r="Q139" s="3" t="s">
        <v>466</v>
      </c>
      <c r="R139" s="3" t="s">
        <v>260</v>
      </c>
    </row>
    <row r="140" spans="1:18" ht="46" customHeight="1">
      <c r="A140" s="9">
        <v>135</v>
      </c>
      <c r="B140" s="5" t="s">
        <v>790</v>
      </c>
      <c r="C140" s="5" t="s">
        <v>25</v>
      </c>
      <c r="D140" s="5" t="s">
        <v>744</v>
      </c>
      <c r="E140" s="5" t="s">
        <v>14</v>
      </c>
      <c r="F140" s="5" t="s">
        <v>261</v>
      </c>
      <c r="G140" s="5"/>
      <c r="H140" s="3" t="s">
        <v>791</v>
      </c>
      <c r="I140" s="3" t="s">
        <v>792</v>
      </c>
      <c r="J140" s="5" t="s">
        <v>48</v>
      </c>
      <c r="K140" s="7">
        <v>9.8900000000000002E-2</v>
      </c>
      <c r="L140" s="11" t="s">
        <v>7</v>
      </c>
      <c r="M140" s="11" t="s">
        <v>256</v>
      </c>
      <c r="N140" s="5" t="s">
        <v>257</v>
      </c>
      <c r="O140" s="5" t="s">
        <v>465</v>
      </c>
      <c r="P140" s="5" t="s">
        <v>465</v>
      </c>
      <c r="Q140" s="3" t="s">
        <v>466</v>
      </c>
      <c r="R140" s="3" t="s">
        <v>260</v>
      </c>
    </row>
    <row r="141" spans="1:18" ht="46" customHeight="1">
      <c r="A141" s="9">
        <v>136</v>
      </c>
      <c r="B141" s="5" t="s">
        <v>793</v>
      </c>
      <c r="C141" s="5" t="s">
        <v>25</v>
      </c>
      <c r="D141" s="5" t="s">
        <v>794</v>
      </c>
      <c r="E141" s="5" t="s">
        <v>14</v>
      </c>
      <c r="F141" s="5" t="s">
        <v>261</v>
      </c>
      <c r="G141" s="5"/>
      <c r="H141" s="3" t="s">
        <v>795</v>
      </c>
      <c r="I141" s="3" t="s">
        <v>796</v>
      </c>
      <c r="J141" s="5" t="s">
        <v>48</v>
      </c>
      <c r="K141" s="7">
        <v>0.21990000000000001</v>
      </c>
      <c r="L141" s="11" t="s">
        <v>7</v>
      </c>
      <c r="M141" s="11" t="s">
        <v>256</v>
      </c>
      <c r="N141" s="5" t="s">
        <v>257</v>
      </c>
      <c r="O141" s="5" t="s">
        <v>336</v>
      </c>
      <c r="P141" s="5" t="s">
        <v>336</v>
      </c>
      <c r="Q141" s="3" t="s">
        <v>368</v>
      </c>
      <c r="R141" s="3" t="s">
        <v>260</v>
      </c>
    </row>
    <row r="142" spans="1:18" ht="46" customHeight="1">
      <c r="A142" s="9">
        <v>137</v>
      </c>
      <c r="B142" s="5" t="s">
        <v>797</v>
      </c>
      <c r="C142" s="5" t="s">
        <v>25</v>
      </c>
      <c r="D142" s="5" t="s">
        <v>794</v>
      </c>
      <c r="E142" s="5" t="s">
        <v>16</v>
      </c>
      <c r="F142" s="5" t="s">
        <v>274</v>
      </c>
      <c r="G142" s="5"/>
      <c r="H142" s="3" t="s">
        <v>798</v>
      </c>
      <c r="I142" s="3" t="s">
        <v>799</v>
      </c>
      <c r="J142" s="5" t="s">
        <v>48</v>
      </c>
      <c r="K142" s="7">
        <v>0.23119999999999999</v>
      </c>
      <c r="L142" s="11" t="s">
        <v>7</v>
      </c>
      <c r="M142" s="11" t="s">
        <v>256</v>
      </c>
      <c r="N142" s="5" t="s">
        <v>257</v>
      </c>
      <c r="O142" s="5" t="s">
        <v>360</v>
      </c>
      <c r="P142" s="5" t="s">
        <v>360</v>
      </c>
      <c r="Q142" s="3" t="s">
        <v>361</v>
      </c>
      <c r="R142" s="3" t="s">
        <v>260</v>
      </c>
    </row>
    <row r="143" spans="1:18" ht="46" customHeight="1">
      <c r="A143" s="9">
        <v>138</v>
      </c>
      <c r="B143" s="5" t="s">
        <v>46</v>
      </c>
      <c r="C143" s="5" t="s">
        <v>25</v>
      </c>
      <c r="D143" s="5" t="s">
        <v>794</v>
      </c>
      <c r="E143" s="5" t="s">
        <v>14</v>
      </c>
      <c r="F143" s="5" t="s">
        <v>274</v>
      </c>
      <c r="G143" s="5"/>
      <c r="H143" s="3" t="s">
        <v>47</v>
      </c>
      <c r="I143" s="3" t="s">
        <v>800</v>
      </c>
      <c r="J143" s="5" t="s">
        <v>48</v>
      </c>
      <c r="K143" s="7">
        <v>0.3382</v>
      </c>
      <c r="L143" s="14" t="s">
        <v>10</v>
      </c>
      <c r="M143" s="14" t="s">
        <v>49</v>
      </c>
      <c r="N143" s="5" t="s">
        <v>257</v>
      </c>
      <c r="O143" s="5" t="s">
        <v>50</v>
      </c>
      <c r="P143" s="5" t="s">
        <v>50</v>
      </c>
      <c r="Q143" s="3" t="s">
        <v>51</v>
      </c>
      <c r="R143" s="3" t="s">
        <v>52</v>
      </c>
    </row>
    <row r="144" spans="1:18" ht="46" customHeight="1">
      <c r="A144" s="9">
        <v>139</v>
      </c>
      <c r="B144" s="5" t="s">
        <v>801</v>
      </c>
      <c r="C144" s="5" t="s">
        <v>25</v>
      </c>
      <c r="D144" s="5" t="s">
        <v>794</v>
      </c>
      <c r="E144" s="5" t="s">
        <v>14</v>
      </c>
      <c r="F144" s="5" t="s">
        <v>261</v>
      </c>
      <c r="G144" s="5"/>
      <c r="H144" s="3" t="s">
        <v>802</v>
      </c>
      <c r="I144" s="3" t="s">
        <v>803</v>
      </c>
      <c r="J144" s="5" t="s">
        <v>48</v>
      </c>
      <c r="K144" s="7">
        <v>0.11509999999999999</v>
      </c>
      <c r="L144" s="11" t="s">
        <v>7</v>
      </c>
      <c r="M144" s="11" t="s">
        <v>256</v>
      </c>
      <c r="N144" s="5" t="s">
        <v>257</v>
      </c>
      <c r="O144" s="5" t="s">
        <v>360</v>
      </c>
      <c r="P144" s="5" t="s">
        <v>360</v>
      </c>
      <c r="Q144" s="3" t="s">
        <v>361</v>
      </c>
      <c r="R144" s="3" t="s">
        <v>260</v>
      </c>
    </row>
    <row r="145" spans="1:18" ht="46" customHeight="1">
      <c r="A145" s="9">
        <v>140</v>
      </c>
      <c r="B145" s="5" t="s">
        <v>804</v>
      </c>
      <c r="C145" s="5" t="s">
        <v>25</v>
      </c>
      <c r="D145" s="5" t="s">
        <v>794</v>
      </c>
      <c r="E145" s="5" t="s">
        <v>14</v>
      </c>
      <c r="F145" s="5" t="s">
        <v>274</v>
      </c>
      <c r="G145" s="5"/>
      <c r="H145" s="3" t="s">
        <v>805</v>
      </c>
      <c r="I145" s="3" t="s">
        <v>806</v>
      </c>
      <c r="J145" s="5" t="s">
        <v>48</v>
      </c>
      <c r="K145" s="7">
        <v>0.1656</v>
      </c>
      <c r="L145" s="11" t="s">
        <v>7</v>
      </c>
      <c r="M145" s="11" t="s">
        <v>256</v>
      </c>
      <c r="N145" s="5" t="s">
        <v>257</v>
      </c>
      <c r="O145" s="5" t="s">
        <v>669</v>
      </c>
      <c r="P145" s="5" t="s">
        <v>669</v>
      </c>
      <c r="Q145" s="3" t="s">
        <v>733</v>
      </c>
      <c r="R145" s="3" t="s">
        <v>260</v>
      </c>
    </row>
    <row r="146" spans="1:18" ht="46" customHeight="1">
      <c r="A146" s="9">
        <v>141</v>
      </c>
      <c r="B146" s="5" t="s">
        <v>807</v>
      </c>
      <c r="C146" s="5" t="s">
        <v>25</v>
      </c>
      <c r="D146" s="5" t="s">
        <v>794</v>
      </c>
      <c r="E146" s="5" t="s">
        <v>16</v>
      </c>
      <c r="F146" s="5" t="s">
        <v>274</v>
      </c>
      <c r="G146" s="5"/>
      <c r="H146" s="3" t="s">
        <v>808</v>
      </c>
      <c r="I146" s="3" t="s">
        <v>809</v>
      </c>
      <c r="J146" s="5" t="s">
        <v>48</v>
      </c>
      <c r="K146" s="7">
        <v>0.1328</v>
      </c>
      <c r="L146" s="11" t="s">
        <v>7</v>
      </c>
      <c r="M146" s="11" t="s">
        <v>256</v>
      </c>
      <c r="N146" s="5" t="s">
        <v>257</v>
      </c>
      <c r="O146" s="5" t="s">
        <v>360</v>
      </c>
      <c r="P146" s="5" t="s">
        <v>360</v>
      </c>
      <c r="Q146" s="3" t="s">
        <v>361</v>
      </c>
      <c r="R146" s="3" t="s">
        <v>260</v>
      </c>
    </row>
    <row r="147" spans="1:18" ht="46" customHeight="1">
      <c r="A147" s="9">
        <v>142</v>
      </c>
      <c r="B147" s="5" t="s">
        <v>810</v>
      </c>
      <c r="C147" s="5" t="s">
        <v>25</v>
      </c>
      <c r="D147" s="5" t="s">
        <v>794</v>
      </c>
      <c r="E147" s="5" t="s">
        <v>14</v>
      </c>
      <c r="F147" s="5" t="s">
        <v>261</v>
      </c>
      <c r="G147" s="5"/>
      <c r="H147" s="3" t="s">
        <v>811</v>
      </c>
      <c r="I147" s="3" t="s">
        <v>812</v>
      </c>
      <c r="J147" s="5" t="s">
        <v>48</v>
      </c>
      <c r="K147" s="7">
        <v>0.13789999999999999</v>
      </c>
      <c r="L147" s="11" t="s">
        <v>7</v>
      </c>
      <c r="M147" s="11" t="s">
        <v>256</v>
      </c>
      <c r="N147" s="5" t="s">
        <v>257</v>
      </c>
      <c r="O147" s="5" t="s">
        <v>669</v>
      </c>
      <c r="P147" s="5" t="s">
        <v>669</v>
      </c>
      <c r="Q147" s="3" t="s">
        <v>733</v>
      </c>
      <c r="R147" s="3" t="s">
        <v>260</v>
      </c>
    </row>
    <row r="148" spans="1:18" ht="46" customHeight="1">
      <c r="A148" s="9">
        <v>143</v>
      </c>
      <c r="B148" s="5" t="s">
        <v>813</v>
      </c>
      <c r="C148" s="5" t="s">
        <v>25</v>
      </c>
      <c r="D148" s="5" t="s">
        <v>794</v>
      </c>
      <c r="E148" s="5" t="s">
        <v>14</v>
      </c>
      <c r="F148" s="5" t="s">
        <v>253</v>
      </c>
      <c r="G148" s="5"/>
      <c r="H148" s="3" t="s">
        <v>814</v>
      </c>
      <c r="I148" s="3" t="s">
        <v>815</v>
      </c>
      <c r="J148" s="5" t="s">
        <v>48</v>
      </c>
      <c r="K148" s="7">
        <v>0.17879999999999999</v>
      </c>
      <c r="L148" s="11" t="s">
        <v>7</v>
      </c>
      <c r="M148" s="11" t="s">
        <v>256</v>
      </c>
      <c r="N148" s="5" t="s">
        <v>257</v>
      </c>
      <c r="O148" s="5" t="s">
        <v>336</v>
      </c>
      <c r="P148" s="5" t="s">
        <v>336</v>
      </c>
      <c r="Q148" s="3" t="s">
        <v>368</v>
      </c>
      <c r="R148" s="3" t="s">
        <v>260</v>
      </c>
    </row>
    <row r="149" spans="1:18" ht="46" customHeight="1">
      <c r="A149" s="9">
        <v>144</v>
      </c>
      <c r="B149" s="5" t="s">
        <v>816</v>
      </c>
      <c r="C149" s="5" t="s">
        <v>25</v>
      </c>
      <c r="D149" s="5" t="s">
        <v>794</v>
      </c>
      <c r="E149" s="5" t="s">
        <v>16</v>
      </c>
      <c r="F149" s="5" t="s">
        <v>274</v>
      </c>
      <c r="G149" s="5"/>
      <c r="H149" s="3" t="s">
        <v>817</v>
      </c>
      <c r="I149" s="3" t="s">
        <v>818</v>
      </c>
      <c r="J149" s="5" t="s">
        <v>48</v>
      </c>
      <c r="K149" s="7">
        <v>0.83850000000000002</v>
      </c>
      <c r="L149" s="11" t="s">
        <v>7</v>
      </c>
      <c r="M149" s="11" t="s">
        <v>256</v>
      </c>
      <c r="N149" s="5" t="s">
        <v>257</v>
      </c>
      <c r="O149" s="5" t="s">
        <v>89</v>
      </c>
      <c r="P149" s="5" t="s">
        <v>89</v>
      </c>
      <c r="Q149" s="3" t="s">
        <v>371</v>
      </c>
      <c r="R149" s="3" t="s">
        <v>260</v>
      </c>
    </row>
    <row r="150" spans="1:18" ht="46" customHeight="1">
      <c r="A150" s="9">
        <v>145</v>
      </c>
      <c r="B150" s="5" t="s">
        <v>819</v>
      </c>
      <c r="C150" s="5" t="s">
        <v>25</v>
      </c>
      <c r="D150" s="5" t="s">
        <v>794</v>
      </c>
      <c r="E150" s="5" t="s">
        <v>14</v>
      </c>
      <c r="F150" s="5" t="s">
        <v>261</v>
      </c>
      <c r="G150" s="5"/>
      <c r="H150" s="3" t="s">
        <v>820</v>
      </c>
      <c r="I150" s="3" t="s">
        <v>821</v>
      </c>
      <c r="J150" s="5" t="s">
        <v>48</v>
      </c>
      <c r="K150" s="7">
        <v>0.95860000000000001</v>
      </c>
      <c r="L150" s="11" t="s">
        <v>7</v>
      </c>
      <c r="M150" s="11" t="s">
        <v>256</v>
      </c>
      <c r="N150" s="5" t="s">
        <v>257</v>
      </c>
      <c r="O150" s="5" t="s">
        <v>336</v>
      </c>
      <c r="P150" s="5" t="s">
        <v>336</v>
      </c>
      <c r="Q150" s="3" t="s">
        <v>368</v>
      </c>
      <c r="R150" s="3" t="s">
        <v>260</v>
      </c>
    </row>
    <row r="151" spans="1:18" ht="46" customHeight="1">
      <c r="A151" s="9">
        <v>146</v>
      </c>
      <c r="B151" s="5" t="s">
        <v>822</v>
      </c>
      <c r="C151" s="5" t="s">
        <v>25</v>
      </c>
      <c r="D151" s="5" t="s">
        <v>794</v>
      </c>
      <c r="E151" s="5" t="s">
        <v>14</v>
      </c>
      <c r="F151" s="5" t="s">
        <v>261</v>
      </c>
      <c r="G151" s="5"/>
      <c r="H151" s="3" t="s">
        <v>823</v>
      </c>
      <c r="I151" s="3" t="s">
        <v>824</v>
      </c>
      <c r="J151" s="5" t="s">
        <v>48</v>
      </c>
      <c r="K151" s="7">
        <v>0.26019999999999999</v>
      </c>
      <c r="L151" s="11" t="s">
        <v>7</v>
      </c>
      <c r="M151" s="11" t="s">
        <v>256</v>
      </c>
      <c r="N151" s="5" t="s">
        <v>257</v>
      </c>
      <c r="O151" s="5" t="s">
        <v>292</v>
      </c>
      <c r="P151" s="5" t="s">
        <v>292</v>
      </c>
      <c r="Q151" s="3" t="s">
        <v>293</v>
      </c>
      <c r="R151" s="3" t="s">
        <v>260</v>
      </c>
    </row>
    <row r="152" spans="1:18" ht="46" customHeight="1">
      <c r="A152" s="9">
        <v>147</v>
      </c>
      <c r="B152" s="5" t="s">
        <v>825</v>
      </c>
      <c r="C152" s="5" t="s">
        <v>25</v>
      </c>
      <c r="D152" s="5" t="s">
        <v>794</v>
      </c>
      <c r="E152" s="5" t="s">
        <v>14</v>
      </c>
      <c r="F152" s="5" t="s">
        <v>274</v>
      </c>
      <c r="G152" s="5"/>
      <c r="H152" s="3" t="s">
        <v>826</v>
      </c>
      <c r="I152" s="3" t="s">
        <v>827</v>
      </c>
      <c r="J152" s="5" t="s">
        <v>48</v>
      </c>
      <c r="K152" s="7">
        <v>0.10150000000000001</v>
      </c>
      <c r="L152" s="11" t="s">
        <v>7</v>
      </c>
      <c r="M152" s="11" t="s">
        <v>256</v>
      </c>
      <c r="N152" s="5" t="s">
        <v>257</v>
      </c>
      <c r="O152" s="5" t="s">
        <v>336</v>
      </c>
      <c r="P152" s="5" t="s">
        <v>336</v>
      </c>
      <c r="Q152" s="3" t="s">
        <v>368</v>
      </c>
      <c r="R152" s="3" t="s">
        <v>260</v>
      </c>
    </row>
    <row r="153" spans="1:18" ht="46" customHeight="1">
      <c r="A153" s="9">
        <v>148</v>
      </c>
      <c r="B153" s="5" t="s">
        <v>828</v>
      </c>
      <c r="C153" s="5" t="s">
        <v>25</v>
      </c>
      <c r="D153" s="5" t="s">
        <v>794</v>
      </c>
      <c r="E153" s="5" t="s">
        <v>14</v>
      </c>
      <c r="F153" s="5" t="s">
        <v>253</v>
      </c>
      <c r="G153" s="5"/>
      <c r="H153" s="3" t="s">
        <v>829</v>
      </c>
      <c r="I153" s="3" t="s">
        <v>830</v>
      </c>
      <c r="J153" s="5" t="s">
        <v>48</v>
      </c>
      <c r="K153" s="7">
        <v>0.2394</v>
      </c>
      <c r="L153" s="11" t="s">
        <v>7</v>
      </c>
      <c r="M153" s="11" t="s">
        <v>256</v>
      </c>
      <c r="N153" s="5" t="s">
        <v>257</v>
      </c>
      <c r="O153" s="5" t="s">
        <v>325</v>
      </c>
      <c r="P153" s="5" t="s">
        <v>325</v>
      </c>
      <c r="Q153" s="3" t="s">
        <v>346</v>
      </c>
      <c r="R153" s="3" t="s">
        <v>260</v>
      </c>
    </row>
    <row r="154" spans="1:18" ht="46" customHeight="1">
      <c r="A154" s="9">
        <v>149</v>
      </c>
      <c r="B154" s="5" t="s">
        <v>831</v>
      </c>
      <c r="C154" s="5" t="s">
        <v>25</v>
      </c>
      <c r="D154" s="5" t="s">
        <v>794</v>
      </c>
      <c r="E154" s="5" t="s">
        <v>16</v>
      </c>
      <c r="F154" s="5" t="s">
        <v>274</v>
      </c>
      <c r="G154" s="5"/>
      <c r="H154" s="3" t="s">
        <v>832</v>
      </c>
      <c r="I154" s="3" t="s">
        <v>833</v>
      </c>
      <c r="J154" s="5" t="s">
        <v>48</v>
      </c>
      <c r="K154" s="7">
        <v>0.1996</v>
      </c>
      <c r="L154" s="11" t="s">
        <v>7</v>
      </c>
      <c r="M154" s="11" t="s">
        <v>256</v>
      </c>
      <c r="N154" s="5" t="s">
        <v>257</v>
      </c>
      <c r="O154" s="5" t="s">
        <v>443</v>
      </c>
      <c r="P154" s="5" t="s">
        <v>443</v>
      </c>
      <c r="Q154" s="3" t="s">
        <v>444</v>
      </c>
      <c r="R154" s="3" t="s">
        <v>260</v>
      </c>
    </row>
    <row r="155" spans="1:18" ht="46" customHeight="1">
      <c r="A155" s="9">
        <v>150</v>
      </c>
      <c r="B155" s="5" t="s">
        <v>834</v>
      </c>
      <c r="C155" s="5" t="s">
        <v>25</v>
      </c>
      <c r="D155" s="5" t="s">
        <v>794</v>
      </c>
      <c r="E155" s="5" t="s">
        <v>14</v>
      </c>
      <c r="F155" s="5" t="s">
        <v>274</v>
      </c>
      <c r="G155" s="5"/>
      <c r="H155" s="3" t="s">
        <v>835</v>
      </c>
      <c r="I155" s="3" t="s">
        <v>836</v>
      </c>
      <c r="J155" s="5" t="s">
        <v>48</v>
      </c>
      <c r="K155" s="7">
        <v>0.21099999999999999</v>
      </c>
      <c r="L155" s="11" t="s">
        <v>7</v>
      </c>
      <c r="M155" s="11" t="s">
        <v>256</v>
      </c>
      <c r="N155" s="5" t="s">
        <v>257</v>
      </c>
      <c r="O155" s="5" t="s">
        <v>759</v>
      </c>
      <c r="P155" s="5" t="s">
        <v>759</v>
      </c>
      <c r="Q155" s="3" t="s">
        <v>760</v>
      </c>
      <c r="R155" s="3" t="s">
        <v>260</v>
      </c>
    </row>
    <row r="156" spans="1:18" ht="46" customHeight="1">
      <c r="A156" s="9">
        <v>151</v>
      </c>
      <c r="B156" s="5" t="s">
        <v>837</v>
      </c>
      <c r="C156" s="5" t="s">
        <v>25</v>
      </c>
      <c r="D156" s="5" t="s">
        <v>838</v>
      </c>
      <c r="E156" s="5" t="s">
        <v>17</v>
      </c>
      <c r="F156" s="5" t="s">
        <v>274</v>
      </c>
      <c r="G156" s="5"/>
      <c r="H156" s="3" t="s">
        <v>839</v>
      </c>
      <c r="I156" s="3" t="s">
        <v>840</v>
      </c>
      <c r="J156" s="5" t="s">
        <v>48</v>
      </c>
      <c r="K156" s="7">
        <v>2.6086999999999998</v>
      </c>
      <c r="L156" s="11" t="s">
        <v>7</v>
      </c>
      <c r="M156" s="11" t="s">
        <v>506</v>
      </c>
      <c r="N156" s="5" t="s">
        <v>257</v>
      </c>
      <c r="O156" s="5" t="s">
        <v>841</v>
      </c>
      <c r="P156" s="5" t="s">
        <v>842</v>
      </c>
      <c r="Q156" s="3" t="s">
        <v>843</v>
      </c>
      <c r="R156" s="3" t="s">
        <v>260</v>
      </c>
    </row>
    <row r="157" spans="1:18" ht="46" customHeight="1">
      <c r="A157" s="9">
        <v>152</v>
      </c>
      <c r="B157" s="5" t="s">
        <v>844</v>
      </c>
      <c r="C157" s="5" t="s">
        <v>25</v>
      </c>
      <c r="D157" s="5" t="s">
        <v>838</v>
      </c>
      <c r="E157" s="5" t="s">
        <v>17</v>
      </c>
      <c r="F157" s="5" t="s">
        <v>261</v>
      </c>
      <c r="G157" s="5"/>
      <c r="H157" s="3" t="s">
        <v>845</v>
      </c>
      <c r="I157" s="3" t="s">
        <v>846</v>
      </c>
      <c r="J157" s="5" t="s">
        <v>48</v>
      </c>
      <c r="K157" s="7">
        <v>0.90369999999999995</v>
      </c>
      <c r="L157" s="11" t="s">
        <v>7</v>
      </c>
      <c r="M157" s="11" t="s">
        <v>506</v>
      </c>
      <c r="N157" s="5" t="s">
        <v>257</v>
      </c>
      <c r="O157" s="5" t="s">
        <v>847</v>
      </c>
      <c r="P157" s="5" t="s">
        <v>848</v>
      </c>
      <c r="Q157" s="3" t="s">
        <v>849</v>
      </c>
      <c r="R157" s="3" t="s">
        <v>260</v>
      </c>
    </row>
    <row r="158" spans="1:18" ht="46" customHeight="1">
      <c r="A158" s="9">
        <v>153</v>
      </c>
      <c r="B158" s="5" t="s">
        <v>850</v>
      </c>
      <c r="C158" s="5" t="s">
        <v>25</v>
      </c>
      <c r="D158" s="5" t="s">
        <v>838</v>
      </c>
      <c r="E158" s="5" t="s">
        <v>17</v>
      </c>
      <c r="F158" s="5" t="s">
        <v>253</v>
      </c>
      <c r="G158" s="5"/>
      <c r="H158" s="3" t="s">
        <v>851</v>
      </c>
      <c r="I158" s="3" t="s">
        <v>852</v>
      </c>
      <c r="J158" s="5" t="s">
        <v>48</v>
      </c>
      <c r="K158" s="7">
        <v>0.66379999999999995</v>
      </c>
      <c r="L158" s="11" t="s">
        <v>7</v>
      </c>
      <c r="M158" s="11" t="s">
        <v>506</v>
      </c>
      <c r="N158" s="5" t="s">
        <v>257</v>
      </c>
      <c r="O158" s="5" t="s">
        <v>853</v>
      </c>
      <c r="P158" s="5" t="s">
        <v>854</v>
      </c>
      <c r="Q158" s="3" t="s">
        <v>855</v>
      </c>
      <c r="R158" s="3" t="s">
        <v>260</v>
      </c>
    </row>
    <row r="159" spans="1:18" ht="46" customHeight="1">
      <c r="A159" s="9">
        <v>154</v>
      </c>
      <c r="B159" s="5" t="s">
        <v>856</v>
      </c>
      <c r="C159" s="5" t="s">
        <v>25</v>
      </c>
      <c r="D159" s="5" t="s">
        <v>838</v>
      </c>
      <c r="E159" s="5" t="s">
        <v>17</v>
      </c>
      <c r="F159" s="5" t="s">
        <v>274</v>
      </c>
      <c r="G159" s="5"/>
      <c r="H159" s="3" t="s">
        <v>857</v>
      </c>
      <c r="I159" s="3" t="s">
        <v>858</v>
      </c>
      <c r="J159" s="5" t="s">
        <v>48</v>
      </c>
      <c r="K159" s="7">
        <v>0.2631</v>
      </c>
      <c r="L159" s="11" t="s">
        <v>7</v>
      </c>
      <c r="M159" s="11" t="s">
        <v>506</v>
      </c>
      <c r="N159" s="5" t="s">
        <v>257</v>
      </c>
      <c r="O159" s="5" t="s">
        <v>859</v>
      </c>
      <c r="P159" s="5" t="s">
        <v>860</v>
      </c>
      <c r="Q159" s="3" t="s">
        <v>861</v>
      </c>
      <c r="R159" s="3" t="s">
        <v>260</v>
      </c>
    </row>
    <row r="160" spans="1:18" ht="46" customHeight="1">
      <c r="A160" s="9">
        <v>155</v>
      </c>
      <c r="B160" s="5" t="s">
        <v>862</v>
      </c>
      <c r="C160" s="5" t="s">
        <v>25</v>
      </c>
      <c r="D160" s="5" t="s">
        <v>838</v>
      </c>
      <c r="E160" s="5" t="s">
        <v>17</v>
      </c>
      <c r="F160" s="5" t="s">
        <v>261</v>
      </c>
      <c r="G160" s="5"/>
      <c r="H160" s="3" t="s">
        <v>863</v>
      </c>
      <c r="I160" s="3" t="s">
        <v>864</v>
      </c>
      <c r="J160" s="5" t="s">
        <v>48</v>
      </c>
      <c r="K160" s="7">
        <v>4.5585000000000004</v>
      </c>
      <c r="L160" s="11" t="s">
        <v>7</v>
      </c>
      <c r="M160" s="11" t="s">
        <v>506</v>
      </c>
      <c r="N160" s="5" t="s">
        <v>257</v>
      </c>
      <c r="O160" s="5" t="s">
        <v>865</v>
      </c>
      <c r="P160" s="5" t="s">
        <v>866</v>
      </c>
      <c r="Q160" s="3" t="s">
        <v>867</v>
      </c>
      <c r="R160" s="3" t="s">
        <v>260</v>
      </c>
    </row>
    <row r="161" spans="1:18" ht="46" customHeight="1">
      <c r="A161" s="9">
        <v>156</v>
      </c>
      <c r="B161" s="5" t="s">
        <v>868</v>
      </c>
      <c r="C161" s="5" t="s">
        <v>25</v>
      </c>
      <c r="D161" s="5" t="s">
        <v>838</v>
      </c>
      <c r="E161" s="5" t="s">
        <v>17</v>
      </c>
      <c r="F161" s="5" t="s">
        <v>261</v>
      </c>
      <c r="G161" s="5"/>
      <c r="H161" s="3" t="s">
        <v>869</v>
      </c>
      <c r="I161" s="3" t="s">
        <v>870</v>
      </c>
      <c r="J161" s="5" t="s">
        <v>48</v>
      </c>
      <c r="K161" s="7">
        <v>0.71799999999999997</v>
      </c>
      <c r="L161" s="11" t="s">
        <v>7</v>
      </c>
      <c r="M161" s="11" t="s">
        <v>506</v>
      </c>
      <c r="N161" s="5" t="s">
        <v>257</v>
      </c>
      <c r="O161" s="5" t="s">
        <v>871</v>
      </c>
      <c r="P161" s="5" t="s">
        <v>872</v>
      </c>
      <c r="Q161" s="3" t="s">
        <v>873</v>
      </c>
      <c r="R161" s="3" t="s">
        <v>260</v>
      </c>
    </row>
    <row r="162" spans="1:18" ht="46" customHeight="1">
      <c r="A162" s="9">
        <v>157</v>
      </c>
      <c r="B162" s="5" t="s">
        <v>874</v>
      </c>
      <c r="C162" s="5" t="s">
        <v>25</v>
      </c>
      <c r="D162" s="5" t="s">
        <v>838</v>
      </c>
      <c r="E162" s="5" t="s">
        <v>17</v>
      </c>
      <c r="F162" s="5" t="s">
        <v>261</v>
      </c>
      <c r="G162" s="5"/>
      <c r="H162" s="3" t="s">
        <v>875</v>
      </c>
      <c r="I162" s="3" t="s">
        <v>876</v>
      </c>
      <c r="J162" s="5" t="s">
        <v>48</v>
      </c>
      <c r="K162" s="7">
        <v>0.97019999999999995</v>
      </c>
      <c r="L162" s="11" t="s">
        <v>7</v>
      </c>
      <c r="M162" s="11" t="s">
        <v>506</v>
      </c>
      <c r="N162" s="5" t="s">
        <v>257</v>
      </c>
      <c r="O162" s="5" t="s">
        <v>877</v>
      </c>
      <c r="P162" s="5" t="s">
        <v>878</v>
      </c>
      <c r="Q162" s="3" t="s">
        <v>879</v>
      </c>
      <c r="R162" s="3" t="s">
        <v>260</v>
      </c>
    </row>
    <row r="163" spans="1:18" ht="46" customHeight="1">
      <c r="A163" s="9">
        <v>158</v>
      </c>
      <c r="B163" s="5" t="s">
        <v>880</v>
      </c>
      <c r="C163" s="5" t="s">
        <v>25</v>
      </c>
      <c r="D163" s="5" t="s">
        <v>838</v>
      </c>
      <c r="E163" s="5" t="s">
        <v>17</v>
      </c>
      <c r="F163" s="5" t="s">
        <v>261</v>
      </c>
      <c r="G163" s="5"/>
      <c r="H163" s="3" t="s">
        <v>881</v>
      </c>
      <c r="I163" s="3" t="s">
        <v>882</v>
      </c>
      <c r="J163" s="5" t="s">
        <v>48</v>
      </c>
      <c r="K163" s="7">
        <v>0.73060000000000003</v>
      </c>
      <c r="L163" s="11" t="s">
        <v>7</v>
      </c>
      <c r="M163" s="11" t="s">
        <v>506</v>
      </c>
      <c r="N163" s="5" t="s">
        <v>257</v>
      </c>
      <c r="O163" s="5" t="s">
        <v>883</v>
      </c>
      <c r="P163" s="5" t="s">
        <v>884</v>
      </c>
      <c r="Q163" s="3" t="s">
        <v>885</v>
      </c>
      <c r="R163" s="3" t="s">
        <v>260</v>
      </c>
    </row>
    <row r="164" spans="1:18" ht="46" customHeight="1">
      <c r="A164" s="9">
        <v>159</v>
      </c>
      <c r="B164" s="5" t="s">
        <v>886</v>
      </c>
      <c r="C164" s="5" t="s">
        <v>25</v>
      </c>
      <c r="D164" s="5" t="s">
        <v>838</v>
      </c>
      <c r="E164" s="5" t="s">
        <v>17</v>
      </c>
      <c r="F164" s="5" t="s">
        <v>253</v>
      </c>
      <c r="G164" s="5"/>
      <c r="H164" s="3" t="s">
        <v>887</v>
      </c>
      <c r="I164" s="3" t="s">
        <v>888</v>
      </c>
      <c r="J164" s="5" t="s">
        <v>48</v>
      </c>
      <c r="K164" s="7">
        <v>0.43230000000000002</v>
      </c>
      <c r="L164" s="11" t="s">
        <v>7</v>
      </c>
      <c r="M164" s="11" t="s">
        <v>506</v>
      </c>
      <c r="N164" s="5" t="s">
        <v>257</v>
      </c>
      <c r="O164" s="5" t="s">
        <v>889</v>
      </c>
      <c r="P164" s="5" t="s">
        <v>890</v>
      </c>
      <c r="Q164" s="3" t="s">
        <v>891</v>
      </c>
      <c r="R164" s="3" t="s">
        <v>260</v>
      </c>
    </row>
    <row r="165" spans="1:18" ht="46" customHeight="1">
      <c r="A165" s="9">
        <v>160</v>
      </c>
      <c r="B165" s="5" t="s">
        <v>892</v>
      </c>
      <c r="C165" s="5" t="s">
        <v>25</v>
      </c>
      <c r="D165" s="5" t="s">
        <v>838</v>
      </c>
      <c r="E165" s="5" t="s">
        <v>17</v>
      </c>
      <c r="F165" s="5" t="s">
        <v>261</v>
      </c>
      <c r="G165" s="5"/>
      <c r="H165" s="3" t="s">
        <v>893</v>
      </c>
      <c r="I165" s="3" t="s">
        <v>894</v>
      </c>
      <c r="J165" s="5" t="s">
        <v>48</v>
      </c>
      <c r="K165" s="7">
        <v>4.4870000000000001</v>
      </c>
      <c r="L165" s="11" t="s">
        <v>7</v>
      </c>
      <c r="M165" s="11" t="s">
        <v>506</v>
      </c>
      <c r="N165" s="5" t="s">
        <v>257</v>
      </c>
      <c r="O165" s="5" t="s">
        <v>877</v>
      </c>
      <c r="P165" s="5" t="s">
        <v>878</v>
      </c>
      <c r="Q165" s="3" t="s">
        <v>895</v>
      </c>
      <c r="R165" s="3" t="s">
        <v>260</v>
      </c>
    </row>
    <row r="166" spans="1:18" ht="46" customHeight="1">
      <c r="A166" s="9">
        <v>161</v>
      </c>
      <c r="B166" s="5" t="s">
        <v>896</v>
      </c>
      <c r="C166" s="5" t="s">
        <v>25</v>
      </c>
      <c r="D166" s="5" t="s">
        <v>838</v>
      </c>
      <c r="E166" s="5" t="s">
        <v>17</v>
      </c>
      <c r="F166" s="5" t="s">
        <v>253</v>
      </c>
      <c r="G166" s="5"/>
      <c r="H166" s="3" t="s">
        <v>897</v>
      </c>
      <c r="I166" s="3" t="s">
        <v>898</v>
      </c>
      <c r="J166" s="5" t="s">
        <v>48</v>
      </c>
      <c r="K166" s="7">
        <v>1.7898000000000001</v>
      </c>
      <c r="L166" s="11" t="s">
        <v>7</v>
      </c>
      <c r="M166" s="11" t="s">
        <v>506</v>
      </c>
      <c r="N166" s="5" t="s">
        <v>257</v>
      </c>
      <c r="O166" s="5" t="s">
        <v>853</v>
      </c>
      <c r="P166" s="5" t="s">
        <v>854</v>
      </c>
      <c r="Q166" s="3" t="s">
        <v>899</v>
      </c>
      <c r="R166" s="3" t="s">
        <v>260</v>
      </c>
    </row>
    <row r="167" spans="1:18" ht="46" customHeight="1">
      <c r="A167" s="9">
        <v>162</v>
      </c>
      <c r="B167" s="5" t="s">
        <v>108</v>
      </c>
      <c r="C167" s="5" t="s">
        <v>25</v>
      </c>
      <c r="D167" s="5" t="s">
        <v>838</v>
      </c>
      <c r="E167" s="5" t="s">
        <v>17</v>
      </c>
      <c r="F167" s="5" t="s">
        <v>274</v>
      </c>
      <c r="G167" s="5"/>
      <c r="H167" s="3" t="s">
        <v>109</v>
      </c>
      <c r="I167" s="3" t="s">
        <v>900</v>
      </c>
      <c r="J167" s="5" t="s">
        <v>48</v>
      </c>
      <c r="K167" s="7">
        <v>1.6676</v>
      </c>
      <c r="L167" s="13" t="s">
        <v>8</v>
      </c>
      <c r="M167" s="13" t="s">
        <v>901</v>
      </c>
      <c r="N167" s="5" t="s">
        <v>257</v>
      </c>
      <c r="O167" s="5" t="s">
        <v>110</v>
      </c>
      <c r="P167" s="5" t="s">
        <v>111</v>
      </c>
      <c r="Q167" s="3" t="s">
        <v>112</v>
      </c>
      <c r="R167" s="3" t="s">
        <v>113</v>
      </c>
    </row>
    <row r="168" spans="1:18" ht="46" customHeight="1">
      <c r="A168" s="9">
        <v>163</v>
      </c>
      <c r="B168" s="5" t="s">
        <v>902</v>
      </c>
      <c r="C168" s="5" t="s">
        <v>25</v>
      </c>
      <c r="D168" s="5" t="s">
        <v>838</v>
      </c>
      <c r="E168" s="5" t="s">
        <v>17</v>
      </c>
      <c r="F168" s="5" t="s">
        <v>261</v>
      </c>
      <c r="G168" s="5"/>
      <c r="H168" s="3" t="s">
        <v>903</v>
      </c>
      <c r="I168" s="3" t="s">
        <v>904</v>
      </c>
      <c r="J168" s="5" t="s">
        <v>48</v>
      </c>
      <c r="K168" s="7">
        <v>0.4879</v>
      </c>
      <c r="L168" s="11" t="s">
        <v>7</v>
      </c>
      <c r="M168" s="11" t="s">
        <v>506</v>
      </c>
      <c r="N168" s="5" t="s">
        <v>257</v>
      </c>
      <c r="O168" s="5" t="s">
        <v>905</v>
      </c>
      <c r="P168" s="5" t="s">
        <v>906</v>
      </c>
      <c r="Q168" s="3" t="s">
        <v>907</v>
      </c>
      <c r="R168" s="3" t="s">
        <v>260</v>
      </c>
    </row>
    <row r="169" spans="1:18" ht="46" customHeight="1">
      <c r="A169" s="9">
        <v>164</v>
      </c>
      <c r="B169" s="5" t="s">
        <v>908</v>
      </c>
      <c r="C169" s="5" t="s">
        <v>25</v>
      </c>
      <c r="D169" s="5" t="s">
        <v>838</v>
      </c>
      <c r="E169" s="5" t="s">
        <v>17</v>
      </c>
      <c r="F169" s="5" t="s">
        <v>261</v>
      </c>
      <c r="G169" s="5"/>
      <c r="H169" s="3" t="s">
        <v>909</v>
      </c>
      <c r="I169" s="3" t="s">
        <v>910</v>
      </c>
      <c r="J169" s="5" t="s">
        <v>48</v>
      </c>
      <c r="K169" s="7">
        <v>0.67630000000000001</v>
      </c>
      <c r="L169" s="11" t="s">
        <v>7</v>
      </c>
      <c r="M169" s="11" t="s">
        <v>506</v>
      </c>
      <c r="N169" s="5" t="s">
        <v>257</v>
      </c>
      <c r="O169" s="5" t="s">
        <v>911</v>
      </c>
      <c r="P169" s="5" t="s">
        <v>912</v>
      </c>
      <c r="Q169" s="3" t="s">
        <v>913</v>
      </c>
      <c r="R169" s="3" t="s">
        <v>260</v>
      </c>
    </row>
    <row r="170" spans="1:18" ht="46" customHeight="1">
      <c r="A170" s="9">
        <v>165</v>
      </c>
      <c r="B170" s="5" t="s">
        <v>914</v>
      </c>
      <c r="C170" s="5" t="s">
        <v>25</v>
      </c>
      <c r="D170" s="5" t="s">
        <v>838</v>
      </c>
      <c r="E170" s="5" t="s">
        <v>17</v>
      </c>
      <c r="F170" s="5" t="s">
        <v>274</v>
      </c>
      <c r="G170" s="5"/>
      <c r="H170" s="3" t="s">
        <v>915</v>
      </c>
      <c r="I170" s="3" t="s">
        <v>916</v>
      </c>
      <c r="J170" s="5" t="s">
        <v>48</v>
      </c>
      <c r="K170" s="7">
        <v>3.5842999999999998</v>
      </c>
      <c r="L170" s="11" t="s">
        <v>7</v>
      </c>
      <c r="M170" s="11" t="s">
        <v>506</v>
      </c>
      <c r="N170" s="5" t="s">
        <v>257</v>
      </c>
      <c r="O170" s="5" t="s">
        <v>917</v>
      </c>
      <c r="P170" s="5" t="s">
        <v>918</v>
      </c>
      <c r="Q170" s="3" t="s">
        <v>919</v>
      </c>
      <c r="R170" s="3" t="s">
        <v>260</v>
      </c>
    </row>
    <row r="171" spans="1:18" ht="46" customHeight="1">
      <c r="A171" s="9">
        <v>166</v>
      </c>
      <c r="B171" s="5" t="s">
        <v>920</v>
      </c>
      <c r="C171" s="5" t="s">
        <v>27</v>
      </c>
      <c r="D171" s="5" t="s">
        <v>921</v>
      </c>
      <c r="E171" s="5" t="s">
        <v>15</v>
      </c>
      <c r="F171" s="5" t="s">
        <v>274</v>
      </c>
      <c r="G171" s="5"/>
      <c r="H171" s="3" t="s">
        <v>922</v>
      </c>
      <c r="I171" s="3" t="s">
        <v>923</v>
      </c>
      <c r="J171" s="5" t="s">
        <v>48</v>
      </c>
      <c r="K171" s="7">
        <v>6.4903000000000004</v>
      </c>
      <c r="L171" s="11" t="s">
        <v>7</v>
      </c>
      <c r="M171" s="11" t="s">
        <v>256</v>
      </c>
      <c r="N171" s="5" t="s">
        <v>257</v>
      </c>
      <c r="O171" s="5" t="s">
        <v>403</v>
      </c>
      <c r="P171" s="5" t="s">
        <v>403</v>
      </c>
      <c r="Q171" s="3" t="s">
        <v>404</v>
      </c>
      <c r="R171" s="3" t="s">
        <v>260</v>
      </c>
    </row>
    <row r="172" spans="1:18" ht="46" customHeight="1">
      <c r="A172" s="9">
        <v>167</v>
      </c>
      <c r="B172" s="5" t="s">
        <v>146</v>
      </c>
      <c r="C172" s="5" t="s">
        <v>27</v>
      </c>
      <c r="D172" s="5" t="s">
        <v>921</v>
      </c>
      <c r="E172" s="5" t="s">
        <v>15</v>
      </c>
      <c r="F172" s="5" t="s">
        <v>274</v>
      </c>
      <c r="G172" s="5"/>
      <c r="H172" s="3" t="s">
        <v>924</v>
      </c>
      <c r="I172" s="3" t="s">
        <v>925</v>
      </c>
      <c r="J172" s="5" t="s">
        <v>48</v>
      </c>
      <c r="K172" s="7">
        <v>17.497599999999998</v>
      </c>
      <c r="L172" s="11" t="s">
        <v>7</v>
      </c>
      <c r="M172" s="11" t="s">
        <v>256</v>
      </c>
      <c r="N172" s="5" t="s">
        <v>257</v>
      </c>
      <c r="O172" s="5" t="s">
        <v>669</v>
      </c>
      <c r="P172" s="5" t="s">
        <v>669</v>
      </c>
      <c r="Q172" s="3" t="s">
        <v>733</v>
      </c>
      <c r="R172" s="3" t="s">
        <v>260</v>
      </c>
    </row>
    <row r="173" spans="1:18" ht="46" customHeight="1">
      <c r="A173" s="9">
        <v>168</v>
      </c>
      <c r="B173" s="5" t="s">
        <v>926</v>
      </c>
      <c r="C173" s="5" t="s">
        <v>27</v>
      </c>
      <c r="D173" s="5" t="s">
        <v>921</v>
      </c>
      <c r="E173" s="5" t="s">
        <v>15</v>
      </c>
      <c r="F173" s="5" t="s">
        <v>274</v>
      </c>
      <c r="G173" s="5"/>
      <c r="H173" s="3" t="s">
        <v>927</v>
      </c>
      <c r="I173" s="3" t="s">
        <v>928</v>
      </c>
      <c r="J173" s="5" t="s">
        <v>48</v>
      </c>
      <c r="K173" s="7">
        <v>11.2715</v>
      </c>
      <c r="L173" s="11" t="s">
        <v>7</v>
      </c>
      <c r="M173" s="11" t="s">
        <v>256</v>
      </c>
      <c r="N173" s="5" t="s">
        <v>257</v>
      </c>
      <c r="O173" s="5" t="s">
        <v>465</v>
      </c>
      <c r="P173" s="5" t="s">
        <v>465</v>
      </c>
      <c r="Q173" s="3" t="s">
        <v>466</v>
      </c>
      <c r="R173" s="3" t="s">
        <v>260</v>
      </c>
    </row>
    <row r="174" spans="1:18" ht="46" customHeight="1">
      <c r="A174" s="9">
        <v>169</v>
      </c>
      <c r="B174" s="5" t="s">
        <v>929</v>
      </c>
      <c r="C174" s="5" t="s">
        <v>27</v>
      </c>
      <c r="D174" s="5" t="s">
        <v>921</v>
      </c>
      <c r="E174" s="5" t="s">
        <v>15</v>
      </c>
      <c r="F174" s="5" t="s">
        <v>274</v>
      </c>
      <c r="G174" s="5"/>
      <c r="H174" s="3" t="s">
        <v>930</v>
      </c>
      <c r="I174" s="3" t="s">
        <v>931</v>
      </c>
      <c r="J174" s="5" t="s">
        <v>48</v>
      </c>
      <c r="K174" s="7">
        <v>1.9273</v>
      </c>
      <c r="L174" s="11" t="s">
        <v>7</v>
      </c>
      <c r="M174" s="11" t="s">
        <v>256</v>
      </c>
      <c r="N174" s="5" t="s">
        <v>257</v>
      </c>
      <c r="O174" s="5" t="s">
        <v>89</v>
      </c>
      <c r="P174" s="5" t="s">
        <v>89</v>
      </c>
      <c r="Q174" s="3" t="s">
        <v>371</v>
      </c>
      <c r="R174" s="3" t="s">
        <v>260</v>
      </c>
    </row>
    <row r="175" spans="1:18" ht="46" customHeight="1">
      <c r="A175" s="9">
        <v>170</v>
      </c>
      <c r="B175" s="5" t="s">
        <v>932</v>
      </c>
      <c r="C175" s="5" t="s">
        <v>27</v>
      </c>
      <c r="D175" s="5" t="s">
        <v>921</v>
      </c>
      <c r="E175" s="5" t="s">
        <v>15</v>
      </c>
      <c r="F175" s="5" t="s">
        <v>274</v>
      </c>
      <c r="G175" s="5"/>
      <c r="H175" s="3" t="s">
        <v>933</v>
      </c>
      <c r="I175" s="3" t="s">
        <v>934</v>
      </c>
      <c r="J175" s="5" t="s">
        <v>48</v>
      </c>
      <c r="K175" s="7">
        <v>5.7438000000000002</v>
      </c>
      <c r="L175" s="11" t="s">
        <v>7</v>
      </c>
      <c r="M175" s="11" t="s">
        <v>256</v>
      </c>
      <c r="N175" s="5" t="s">
        <v>257</v>
      </c>
      <c r="O175" s="5" t="s">
        <v>403</v>
      </c>
      <c r="P175" s="5" t="s">
        <v>403</v>
      </c>
      <c r="Q175" s="3" t="s">
        <v>404</v>
      </c>
      <c r="R175" s="3" t="s">
        <v>260</v>
      </c>
    </row>
    <row r="176" spans="1:18" ht="46" customHeight="1">
      <c r="A176" s="9">
        <v>171</v>
      </c>
      <c r="B176" s="5" t="s">
        <v>935</v>
      </c>
      <c r="C176" s="5" t="s">
        <v>27</v>
      </c>
      <c r="D176" s="5" t="s">
        <v>921</v>
      </c>
      <c r="E176" s="5" t="s">
        <v>15</v>
      </c>
      <c r="F176" s="5" t="s">
        <v>274</v>
      </c>
      <c r="G176" s="5"/>
      <c r="H176" s="3" t="s">
        <v>936</v>
      </c>
      <c r="I176" s="3" t="s">
        <v>937</v>
      </c>
      <c r="J176" s="5" t="s">
        <v>48</v>
      </c>
      <c r="K176" s="7">
        <v>4.0872000000000002</v>
      </c>
      <c r="L176" s="11" t="s">
        <v>7</v>
      </c>
      <c r="M176" s="11" t="s">
        <v>256</v>
      </c>
      <c r="N176" s="5" t="s">
        <v>257</v>
      </c>
      <c r="O176" s="5" t="s">
        <v>403</v>
      </c>
      <c r="P176" s="5" t="s">
        <v>403</v>
      </c>
      <c r="Q176" s="3" t="s">
        <v>404</v>
      </c>
      <c r="R176" s="3" t="s">
        <v>260</v>
      </c>
    </row>
    <row r="177" spans="1:18" ht="46" customHeight="1">
      <c r="A177" s="9">
        <v>172</v>
      </c>
      <c r="B177" s="5" t="s">
        <v>938</v>
      </c>
      <c r="C177" s="5" t="s">
        <v>27</v>
      </c>
      <c r="D177" s="5" t="s">
        <v>921</v>
      </c>
      <c r="E177" s="5" t="s">
        <v>15</v>
      </c>
      <c r="F177" s="5" t="s">
        <v>274</v>
      </c>
      <c r="G177" s="5"/>
      <c r="H177" s="3" t="s">
        <v>939</v>
      </c>
      <c r="I177" s="3" t="s">
        <v>940</v>
      </c>
      <c r="J177" s="5" t="s">
        <v>48</v>
      </c>
      <c r="K177" s="7">
        <v>24.2194</v>
      </c>
      <c r="L177" s="11" t="s">
        <v>7</v>
      </c>
      <c r="M177" s="11" t="s">
        <v>256</v>
      </c>
      <c r="N177" s="5" t="s">
        <v>257</v>
      </c>
      <c r="O177" s="5" t="s">
        <v>941</v>
      </c>
      <c r="P177" s="5" t="s">
        <v>941</v>
      </c>
      <c r="Q177" s="3" t="s">
        <v>942</v>
      </c>
      <c r="R177" s="3" t="s">
        <v>260</v>
      </c>
    </row>
    <row r="178" spans="1:18" ht="46" customHeight="1">
      <c r="A178" s="9">
        <v>173</v>
      </c>
      <c r="B178" s="5" t="s">
        <v>943</v>
      </c>
      <c r="C178" s="5" t="s">
        <v>27</v>
      </c>
      <c r="D178" s="5" t="s">
        <v>921</v>
      </c>
      <c r="E178" s="5" t="s">
        <v>15</v>
      </c>
      <c r="F178" s="5" t="s">
        <v>274</v>
      </c>
      <c r="G178" s="5"/>
      <c r="H178" s="3" t="s">
        <v>944</v>
      </c>
      <c r="I178" s="3" t="s">
        <v>945</v>
      </c>
      <c r="J178" s="5" t="s">
        <v>48</v>
      </c>
      <c r="K178" s="7">
        <v>13.815</v>
      </c>
      <c r="L178" s="11" t="s">
        <v>7</v>
      </c>
      <c r="M178" s="11" t="s">
        <v>256</v>
      </c>
      <c r="N178" s="5" t="s">
        <v>257</v>
      </c>
      <c r="O178" s="5" t="s">
        <v>63</v>
      </c>
      <c r="P178" s="5" t="s">
        <v>63</v>
      </c>
      <c r="Q178" s="3" t="s">
        <v>316</v>
      </c>
      <c r="R178" s="3" t="s">
        <v>260</v>
      </c>
    </row>
    <row r="179" spans="1:18" ht="46" customHeight="1">
      <c r="A179" s="9">
        <v>174</v>
      </c>
      <c r="B179" s="5" t="s">
        <v>946</v>
      </c>
      <c r="C179" s="5" t="s">
        <v>27</v>
      </c>
      <c r="D179" s="5" t="s">
        <v>921</v>
      </c>
      <c r="E179" s="5" t="s">
        <v>15</v>
      </c>
      <c r="F179" s="5" t="s">
        <v>261</v>
      </c>
      <c r="G179" s="5"/>
      <c r="H179" s="3" t="s">
        <v>947</v>
      </c>
      <c r="I179" s="3" t="s">
        <v>948</v>
      </c>
      <c r="J179" s="5" t="s">
        <v>48</v>
      </c>
      <c r="K179" s="7">
        <v>5.1429999999999998</v>
      </c>
      <c r="L179" s="11" t="s">
        <v>7</v>
      </c>
      <c r="M179" s="11" t="s">
        <v>256</v>
      </c>
      <c r="N179" s="5" t="s">
        <v>257</v>
      </c>
      <c r="O179" s="5" t="s">
        <v>426</v>
      </c>
      <c r="P179" s="5" t="s">
        <v>426</v>
      </c>
      <c r="Q179" s="3" t="s">
        <v>427</v>
      </c>
      <c r="R179" s="3" t="s">
        <v>260</v>
      </c>
    </row>
    <row r="180" spans="1:18" ht="46" customHeight="1">
      <c r="A180" s="9">
        <v>175</v>
      </c>
      <c r="B180" s="5" t="s">
        <v>949</v>
      </c>
      <c r="C180" s="5" t="s">
        <v>27</v>
      </c>
      <c r="D180" s="5" t="s">
        <v>921</v>
      </c>
      <c r="E180" s="5" t="s">
        <v>15</v>
      </c>
      <c r="F180" s="5" t="s">
        <v>261</v>
      </c>
      <c r="G180" s="5"/>
      <c r="H180" s="3" t="s">
        <v>950</v>
      </c>
      <c r="I180" s="3" t="s">
        <v>951</v>
      </c>
      <c r="J180" s="5" t="s">
        <v>48</v>
      </c>
      <c r="K180" s="7">
        <v>3.5324</v>
      </c>
      <c r="L180" s="11" t="s">
        <v>7</v>
      </c>
      <c r="M180" s="11" t="s">
        <v>256</v>
      </c>
      <c r="N180" s="5" t="s">
        <v>257</v>
      </c>
      <c r="O180" s="5" t="s">
        <v>360</v>
      </c>
      <c r="P180" s="5" t="s">
        <v>360</v>
      </c>
      <c r="Q180" s="3" t="s">
        <v>361</v>
      </c>
      <c r="R180" s="3" t="s">
        <v>260</v>
      </c>
    </row>
    <row r="181" spans="1:18" ht="46" customHeight="1">
      <c r="A181" s="9">
        <v>176</v>
      </c>
      <c r="B181" s="5" t="s">
        <v>952</v>
      </c>
      <c r="C181" s="5" t="s">
        <v>27</v>
      </c>
      <c r="D181" s="5" t="s">
        <v>921</v>
      </c>
      <c r="E181" s="5" t="s">
        <v>15</v>
      </c>
      <c r="F181" s="5" t="s">
        <v>274</v>
      </c>
      <c r="G181" s="5"/>
      <c r="H181" s="3" t="s">
        <v>953</v>
      </c>
      <c r="I181" s="3" t="s">
        <v>954</v>
      </c>
      <c r="J181" s="5" t="s">
        <v>48</v>
      </c>
      <c r="K181" s="7">
        <v>3.7917000000000001</v>
      </c>
      <c r="L181" s="11" t="s">
        <v>7</v>
      </c>
      <c r="M181" s="11" t="s">
        <v>256</v>
      </c>
      <c r="N181" s="5" t="s">
        <v>257</v>
      </c>
      <c r="O181" s="5" t="s">
        <v>360</v>
      </c>
      <c r="P181" s="5" t="s">
        <v>360</v>
      </c>
      <c r="Q181" s="3" t="s">
        <v>361</v>
      </c>
      <c r="R181" s="3" t="s">
        <v>260</v>
      </c>
    </row>
    <row r="182" spans="1:18" ht="46" customHeight="1">
      <c r="A182" s="9">
        <v>177</v>
      </c>
      <c r="B182" s="5" t="s">
        <v>955</v>
      </c>
      <c r="C182" s="5" t="s">
        <v>27</v>
      </c>
      <c r="D182" s="5" t="s">
        <v>921</v>
      </c>
      <c r="E182" s="5" t="s">
        <v>15</v>
      </c>
      <c r="F182" s="5" t="s">
        <v>274</v>
      </c>
      <c r="G182" s="5"/>
      <c r="H182" s="3" t="s">
        <v>956</v>
      </c>
      <c r="I182" s="3" t="s">
        <v>957</v>
      </c>
      <c r="J182" s="5" t="s">
        <v>48</v>
      </c>
      <c r="K182" s="7">
        <v>10.853999999999999</v>
      </c>
      <c r="L182" s="11" t="s">
        <v>7</v>
      </c>
      <c r="M182" s="11" t="s">
        <v>256</v>
      </c>
      <c r="N182" s="5" t="s">
        <v>257</v>
      </c>
      <c r="O182" s="5" t="s">
        <v>465</v>
      </c>
      <c r="P182" s="5" t="s">
        <v>465</v>
      </c>
      <c r="Q182" s="3" t="s">
        <v>466</v>
      </c>
      <c r="R182" s="3" t="s">
        <v>260</v>
      </c>
    </row>
    <row r="183" spans="1:18" ht="46" customHeight="1">
      <c r="A183" s="9">
        <v>178</v>
      </c>
      <c r="B183" s="5" t="s">
        <v>958</v>
      </c>
      <c r="C183" s="5" t="s">
        <v>27</v>
      </c>
      <c r="D183" s="5" t="s">
        <v>921</v>
      </c>
      <c r="E183" s="5" t="s">
        <v>15</v>
      </c>
      <c r="F183" s="5" t="s">
        <v>274</v>
      </c>
      <c r="G183" s="5"/>
      <c r="H183" s="3" t="s">
        <v>959</v>
      </c>
      <c r="I183" s="3" t="s">
        <v>960</v>
      </c>
      <c r="J183" s="5" t="s">
        <v>48</v>
      </c>
      <c r="K183" s="7">
        <v>0.79349999999999998</v>
      </c>
      <c r="L183" s="11" t="s">
        <v>7</v>
      </c>
      <c r="M183" s="11" t="s">
        <v>256</v>
      </c>
      <c r="N183" s="5" t="s">
        <v>257</v>
      </c>
      <c r="O183" s="5" t="s">
        <v>465</v>
      </c>
      <c r="P183" s="5" t="s">
        <v>465</v>
      </c>
      <c r="Q183" s="3" t="s">
        <v>466</v>
      </c>
      <c r="R183" s="3" t="s">
        <v>260</v>
      </c>
    </row>
    <row r="184" spans="1:18" ht="46" customHeight="1">
      <c r="A184" s="9">
        <v>179</v>
      </c>
      <c r="B184" s="5" t="s">
        <v>961</v>
      </c>
      <c r="C184" s="5" t="s">
        <v>27</v>
      </c>
      <c r="D184" s="5" t="s">
        <v>921</v>
      </c>
      <c r="E184" s="5" t="s">
        <v>15</v>
      </c>
      <c r="F184" s="5" t="s">
        <v>274</v>
      </c>
      <c r="G184" s="5"/>
      <c r="H184" s="3" t="s">
        <v>962</v>
      </c>
      <c r="I184" s="3" t="s">
        <v>963</v>
      </c>
      <c r="J184" s="5" t="s">
        <v>48</v>
      </c>
      <c r="K184" s="7">
        <v>4.3152999999999997</v>
      </c>
      <c r="L184" s="11" t="s">
        <v>7</v>
      </c>
      <c r="M184" s="11" t="s">
        <v>256</v>
      </c>
      <c r="N184" s="5" t="s">
        <v>257</v>
      </c>
      <c r="O184" s="5" t="s">
        <v>964</v>
      </c>
      <c r="P184" s="5" t="s">
        <v>964</v>
      </c>
      <c r="Q184" s="3" t="s">
        <v>965</v>
      </c>
      <c r="R184" s="3" t="s">
        <v>260</v>
      </c>
    </row>
    <row r="185" spans="1:18" ht="46" customHeight="1">
      <c r="A185" s="9">
        <v>180</v>
      </c>
      <c r="B185" s="5" t="s">
        <v>966</v>
      </c>
      <c r="C185" s="5" t="s">
        <v>27</v>
      </c>
      <c r="D185" s="5" t="s">
        <v>921</v>
      </c>
      <c r="E185" s="5" t="s">
        <v>15</v>
      </c>
      <c r="F185" s="5" t="s">
        <v>274</v>
      </c>
      <c r="G185" s="5"/>
      <c r="H185" s="3" t="s">
        <v>967</v>
      </c>
      <c r="I185" s="3" t="s">
        <v>968</v>
      </c>
      <c r="J185" s="5" t="s">
        <v>48</v>
      </c>
      <c r="K185" s="7">
        <v>4.2834000000000003</v>
      </c>
      <c r="L185" s="11" t="s">
        <v>7</v>
      </c>
      <c r="M185" s="11" t="s">
        <v>256</v>
      </c>
      <c r="N185" s="5" t="s">
        <v>257</v>
      </c>
      <c r="O185" s="5" t="s">
        <v>443</v>
      </c>
      <c r="P185" s="5" t="s">
        <v>443</v>
      </c>
      <c r="Q185" s="3" t="s">
        <v>444</v>
      </c>
      <c r="R185" s="3" t="s">
        <v>260</v>
      </c>
    </row>
    <row r="186" spans="1:18" ht="46" customHeight="1">
      <c r="A186" s="9">
        <v>181</v>
      </c>
      <c r="B186" s="5" t="s">
        <v>54</v>
      </c>
      <c r="C186" s="5" t="s">
        <v>27</v>
      </c>
      <c r="D186" s="5" t="s">
        <v>969</v>
      </c>
      <c r="E186" s="5" t="s">
        <v>15</v>
      </c>
      <c r="F186" s="5" t="s">
        <v>274</v>
      </c>
      <c r="G186" s="5"/>
      <c r="H186" s="3" t="s">
        <v>55</v>
      </c>
      <c r="I186" s="3" t="s">
        <v>970</v>
      </c>
      <c r="J186" s="5" t="s">
        <v>48</v>
      </c>
      <c r="K186" s="7">
        <v>16.075399999999998</v>
      </c>
      <c r="L186" s="14" t="s">
        <v>10</v>
      </c>
      <c r="M186" s="14" t="s">
        <v>56</v>
      </c>
      <c r="N186" s="5" t="s">
        <v>257</v>
      </c>
      <c r="O186" s="5" t="s">
        <v>57</v>
      </c>
      <c r="P186" s="5" t="s">
        <v>57</v>
      </c>
      <c r="Q186" s="3" t="s">
        <v>58</v>
      </c>
      <c r="R186" s="3" t="s">
        <v>59</v>
      </c>
    </row>
    <row r="187" spans="1:18" ht="46" customHeight="1">
      <c r="A187" s="9">
        <v>182</v>
      </c>
      <c r="B187" s="5" t="s">
        <v>971</v>
      </c>
      <c r="C187" s="5" t="s">
        <v>27</v>
      </c>
      <c r="D187" s="5" t="s">
        <v>969</v>
      </c>
      <c r="E187" s="5" t="s">
        <v>15</v>
      </c>
      <c r="F187" s="5" t="s">
        <v>274</v>
      </c>
      <c r="G187" s="5"/>
      <c r="H187" s="3" t="s">
        <v>972</v>
      </c>
      <c r="I187" s="3" t="s">
        <v>973</v>
      </c>
      <c r="J187" s="5" t="s">
        <v>48</v>
      </c>
      <c r="K187" s="7">
        <v>22.222300000000001</v>
      </c>
      <c r="L187" s="11" t="s">
        <v>7</v>
      </c>
      <c r="M187" s="11" t="s">
        <v>256</v>
      </c>
      <c r="N187" s="5" t="s">
        <v>257</v>
      </c>
      <c r="O187" s="5" t="s">
        <v>443</v>
      </c>
      <c r="P187" s="5" t="s">
        <v>443</v>
      </c>
      <c r="Q187" s="3" t="s">
        <v>444</v>
      </c>
      <c r="R187" s="3" t="s">
        <v>260</v>
      </c>
    </row>
    <row r="188" spans="1:18" ht="46" customHeight="1">
      <c r="A188" s="9">
        <v>183</v>
      </c>
      <c r="B188" s="5" t="s">
        <v>974</v>
      </c>
      <c r="C188" s="5" t="s">
        <v>27</v>
      </c>
      <c r="D188" s="5" t="s">
        <v>969</v>
      </c>
      <c r="E188" s="5" t="s">
        <v>15</v>
      </c>
      <c r="F188" s="5" t="s">
        <v>274</v>
      </c>
      <c r="G188" s="5"/>
      <c r="H188" s="3" t="s">
        <v>975</v>
      </c>
      <c r="I188" s="3" t="s">
        <v>976</v>
      </c>
      <c r="J188" s="5" t="s">
        <v>48</v>
      </c>
      <c r="K188" s="7">
        <v>11.0334</v>
      </c>
      <c r="L188" s="11" t="s">
        <v>7</v>
      </c>
      <c r="M188" s="11" t="s">
        <v>256</v>
      </c>
      <c r="N188" s="5" t="s">
        <v>257</v>
      </c>
      <c r="O188" s="5" t="s">
        <v>759</v>
      </c>
      <c r="P188" s="5" t="s">
        <v>759</v>
      </c>
      <c r="Q188" s="3" t="s">
        <v>760</v>
      </c>
      <c r="R188" s="3" t="s">
        <v>260</v>
      </c>
    </row>
    <row r="189" spans="1:18" ht="46" customHeight="1">
      <c r="A189" s="9">
        <v>184</v>
      </c>
      <c r="B189" s="5" t="s">
        <v>156</v>
      </c>
      <c r="C189" s="5" t="s">
        <v>27</v>
      </c>
      <c r="D189" s="5" t="s">
        <v>969</v>
      </c>
      <c r="E189" s="5" t="s">
        <v>15</v>
      </c>
      <c r="F189" s="5" t="s">
        <v>274</v>
      </c>
      <c r="G189" s="5"/>
      <c r="H189" s="3" t="s">
        <v>977</v>
      </c>
      <c r="I189" s="3" t="s">
        <v>978</v>
      </c>
      <c r="J189" s="5" t="s">
        <v>48</v>
      </c>
      <c r="K189" s="7">
        <v>14.03</v>
      </c>
      <c r="L189" s="11" t="s">
        <v>7</v>
      </c>
      <c r="M189" s="11" t="s">
        <v>256</v>
      </c>
      <c r="N189" s="5" t="s">
        <v>257</v>
      </c>
      <c r="O189" s="5" t="s">
        <v>669</v>
      </c>
      <c r="P189" s="5" t="s">
        <v>669</v>
      </c>
      <c r="Q189" s="3" t="s">
        <v>733</v>
      </c>
      <c r="R189" s="3" t="s">
        <v>260</v>
      </c>
    </row>
    <row r="190" spans="1:18" ht="46" customHeight="1">
      <c r="A190" s="9">
        <v>185</v>
      </c>
      <c r="B190" s="5" t="s">
        <v>979</v>
      </c>
      <c r="C190" s="5" t="s">
        <v>27</v>
      </c>
      <c r="D190" s="5" t="s">
        <v>969</v>
      </c>
      <c r="E190" s="5" t="s">
        <v>14</v>
      </c>
      <c r="F190" s="5" t="s">
        <v>261</v>
      </c>
      <c r="G190" s="5"/>
      <c r="H190" s="3" t="s">
        <v>980</v>
      </c>
      <c r="I190" s="3" t="s">
        <v>981</v>
      </c>
      <c r="J190" s="5" t="s">
        <v>48</v>
      </c>
      <c r="K190" s="7">
        <v>8.0199999999999994E-2</v>
      </c>
      <c r="L190" s="11" t="s">
        <v>7</v>
      </c>
      <c r="M190" s="11" t="s">
        <v>256</v>
      </c>
      <c r="N190" s="5" t="s">
        <v>257</v>
      </c>
      <c r="O190" s="5" t="s">
        <v>465</v>
      </c>
      <c r="P190" s="5" t="s">
        <v>465</v>
      </c>
      <c r="Q190" s="3" t="s">
        <v>466</v>
      </c>
      <c r="R190" s="3" t="s">
        <v>260</v>
      </c>
    </row>
    <row r="191" spans="1:18" ht="46" customHeight="1">
      <c r="A191" s="9">
        <v>186</v>
      </c>
      <c r="B191" s="5" t="s">
        <v>982</v>
      </c>
      <c r="C191" s="5" t="s">
        <v>27</v>
      </c>
      <c r="D191" s="5" t="s">
        <v>969</v>
      </c>
      <c r="E191" s="5" t="s">
        <v>15</v>
      </c>
      <c r="F191" s="5" t="s">
        <v>274</v>
      </c>
      <c r="G191" s="5"/>
      <c r="H191" s="3" t="s">
        <v>983</v>
      </c>
      <c r="I191" s="3" t="s">
        <v>984</v>
      </c>
      <c r="J191" s="5" t="s">
        <v>48</v>
      </c>
      <c r="K191" s="7">
        <v>13.4368</v>
      </c>
      <c r="L191" s="11" t="s">
        <v>7</v>
      </c>
      <c r="M191" s="11" t="s">
        <v>256</v>
      </c>
      <c r="N191" s="5" t="s">
        <v>257</v>
      </c>
      <c r="O191" s="5" t="s">
        <v>57</v>
      </c>
      <c r="P191" s="5" t="s">
        <v>57</v>
      </c>
      <c r="Q191" s="3" t="s">
        <v>396</v>
      </c>
      <c r="R191" s="3" t="s">
        <v>260</v>
      </c>
    </row>
    <row r="192" spans="1:18" ht="46" customHeight="1">
      <c r="A192" s="9">
        <v>187</v>
      </c>
      <c r="B192" s="5" t="s">
        <v>985</v>
      </c>
      <c r="C192" s="5" t="s">
        <v>27</v>
      </c>
      <c r="D192" s="5" t="s">
        <v>969</v>
      </c>
      <c r="E192" s="5" t="s">
        <v>15</v>
      </c>
      <c r="F192" s="5" t="s">
        <v>274</v>
      </c>
      <c r="G192" s="5"/>
      <c r="H192" s="3" t="s">
        <v>986</v>
      </c>
      <c r="I192" s="3" t="s">
        <v>987</v>
      </c>
      <c r="J192" s="5" t="s">
        <v>48</v>
      </c>
      <c r="K192" s="7">
        <v>10.551600000000001</v>
      </c>
      <c r="L192" s="11" t="s">
        <v>7</v>
      </c>
      <c r="M192" s="11" t="s">
        <v>256</v>
      </c>
      <c r="N192" s="5" t="s">
        <v>257</v>
      </c>
      <c r="O192" s="5" t="s">
        <v>988</v>
      </c>
      <c r="P192" s="5" t="s">
        <v>988</v>
      </c>
      <c r="Q192" s="3" t="s">
        <v>989</v>
      </c>
      <c r="R192" s="3" t="s">
        <v>260</v>
      </c>
    </row>
    <row r="193" spans="1:18" ht="46" customHeight="1">
      <c r="A193" s="9">
        <v>188</v>
      </c>
      <c r="B193" s="5" t="s">
        <v>162</v>
      </c>
      <c r="C193" s="5" t="s">
        <v>27</v>
      </c>
      <c r="D193" s="5" t="s">
        <v>969</v>
      </c>
      <c r="E193" s="5" t="s">
        <v>14</v>
      </c>
      <c r="F193" s="5" t="s">
        <v>261</v>
      </c>
      <c r="G193" s="5"/>
      <c r="H193" s="3" t="s">
        <v>990</v>
      </c>
      <c r="I193" s="3" t="s">
        <v>991</v>
      </c>
      <c r="J193" s="5" t="s">
        <v>48</v>
      </c>
      <c r="K193" s="7">
        <v>1.9699999999999999E-2</v>
      </c>
      <c r="L193" s="11" t="s">
        <v>7</v>
      </c>
      <c r="M193" s="11" t="s">
        <v>256</v>
      </c>
      <c r="N193" s="5" t="s">
        <v>257</v>
      </c>
      <c r="O193" s="5" t="s">
        <v>465</v>
      </c>
      <c r="P193" s="5" t="s">
        <v>465</v>
      </c>
      <c r="Q193" s="3" t="s">
        <v>466</v>
      </c>
      <c r="R193" s="3" t="s">
        <v>260</v>
      </c>
    </row>
    <row r="194" spans="1:18" ht="46" customHeight="1">
      <c r="A194" s="9">
        <v>189</v>
      </c>
      <c r="B194" s="5" t="s">
        <v>992</v>
      </c>
      <c r="C194" s="5" t="s">
        <v>27</v>
      </c>
      <c r="D194" s="5" t="s">
        <v>969</v>
      </c>
      <c r="E194" s="5" t="s">
        <v>15</v>
      </c>
      <c r="F194" s="5" t="s">
        <v>274</v>
      </c>
      <c r="G194" s="5"/>
      <c r="H194" s="3" t="s">
        <v>993</v>
      </c>
      <c r="I194" s="3" t="s">
        <v>994</v>
      </c>
      <c r="J194" s="5" t="s">
        <v>48</v>
      </c>
      <c r="K194" s="7">
        <v>21.904499999999999</v>
      </c>
      <c r="L194" s="11" t="s">
        <v>7</v>
      </c>
      <c r="M194" s="11" t="s">
        <v>256</v>
      </c>
      <c r="N194" s="5" t="s">
        <v>257</v>
      </c>
      <c r="O194" s="5" t="s">
        <v>443</v>
      </c>
      <c r="P194" s="5" t="s">
        <v>443</v>
      </c>
      <c r="Q194" s="3" t="s">
        <v>444</v>
      </c>
      <c r="R194" s="3" t="s">
        <v>260</v>
      </c>
    </row>
    <row r="195" spans="1:18" ht="46" customHeight="1">
      <c r="A195" s="9">
        <v>190</v>
      </c>
      <c r="B195" s="5" t="s">
        <v>60</v>
      </c>
      <c r="C195" s="5" t="s">
        <v>27</v>
      </c>
      <c r="D195" s="5" t="s">
        <v>969</v>
      </c>
      <c r="E195" s="5" t="s">
        <v>15</v>
      </c>
      <c r="F195" s="5" t="s">
        <v>274</v>
      </c>
      <c r="G195" s="5"/>
      <c r="H195" s="3" t="s">
        <v>61</v>
      </c>
      <c r="I195" s="3" t="s">
        <v>995</v>
      </c>
      <c r="J195" s="5" t="s">
        <v>48</v>
      </c>
      <c r="K195" s="7">
        <v>10.019399999999999</v>
      </c>
      <c r="L195" s="14" t="s">
        <v>10</v>
      </c>
      <c r="M195" s="14" t="s">
        <v>62</v>
      </c>
      <c r="N195" s="5" t="s">
        <v>257</v>
      </c>
      <c r="O195" s="5" t="s">
        <v>63</v>
      </c>
      <c r="P195" s="5" t="s">
        <v>63</v>
      </c>
      <c r="Q195" s="3" t="s">
        <v>64</v>
      </c>
      <c r="R195" s="3" t="s">
        <v>65</v>
      </c>
    </row>
    <row r="196" spans="1:18" ht="46" customHeight="1">
      <c r="A196" s="9">
        <v>191</v>
      </c>
      <c r="B196" s="5" t="s">
        <v>996</v>
      </c>
      <c r="C196" s="5" t="s">
        <v>27</v>
      </c>
      <c r="D196" s="5" t="s">
        <v>969</v>
      </c>
      <c r="E196" s="5" t="s">
        <v>15</v>
      </c>
      <c r="F196" s="5" t="s">
        <v>274</v>
      </c>
      <c r="G196" s="5"/>
      <c r="H196" s="3" t="s">
        <v>997</v>
      </c>
      <c r="I196" s="3" t="s">
        <v>998</v>
      </c>
      <c r="J196" s="5" t="s">
        <v>48</v>
      </c>
      <c r="K196" s="7">
        <v>26.323599999999999</v>
      </c>
      <c r="L196" s="11" t="s">
        <v>7</v>
      </c>
      <c r="M196" s="11" t="s">
        <v>256</v>
      </c>
      <c r="N196" s="5" t="s">
        <v>257</v>
      </c>
      <c r="O196" s="5" t="s">
        <v>360</v>
      </c>
      <c r="P196" s="5" t="s">
        <v>360</v>
      </c>
      <c r="Q196" s="3" t="s">
        <v>361</v>
      </c>
      <c r="R196" s="3" t="s">
        <v>260</v>
      </c>
    </row>
    <row r="197" spans="1:18" ht="46" customHeight="1">
      <c r="A197" s="9">
        <v>192</v>
      </c>
      <c r="B197" s="5" t="s">
        <v>999</v>
      </c>
      <c r="C197" s="5" t="s">
        <v>27</v>
      </c>
      <c r="D197" s="5" t="s">
        <v>969</v>
      </c>
      <c r="E197" s="5" t="s">
        <v>15</v>
      </c>
      <c r="F197" s="5" t="s">
        <v>274</v>
      </c>
      <c r="G197" s="5"/>
      <c r="H197" s="3" t="s">
        <v>1000</v>
      </c>
      <c r="I197" s="3" t="s">
        <v>1001</v>
      </c>
      <c r="J197" s="5" t="s">
        <v>48</v>
      </c>
      <c r="K197" s="7">
        <v>2.6514000000000002</v>
      </c>
      <c r="L197" s="11" t="s">
        <v>7</v>
      </c>
      <c r="M197" s="11" t="s">
        <v>256</v>
      </c>
      <c r="N197" s="5" t="s">
        <v>257</v>
      </c>
      <c r="O197" s="5" t="s">
        <v>360</v>
      </c>
      <c r="P197" s="5" t="s">
        <v>360</v>
      </c>
      <c r="Q197" s="3" t="s">
        <v>361</v>
      </c>
      <c r="R197" s="3" t="s">
        <v>260</v>
      </c>
    </row>
    <row r="198" spans="1:18" ht="46" customHeight="1">
      <c r="A198" s="9">
        <v>193</v>
      </c>
      <c r="B198" s="5" t="s">
        <v>166</v>
      </c>
      <c r="C198" s="5" t="s">
        <v>27</v>
      </c>
      <c r="D198" s="5" t="s">
        <v>969</v>
      </c>
      <c r="E198" s="5" t="s">
        <v>15</v>
      </c>
      <c r="F198" s="5" t="s">
        <v>274</v>
      </c>
      <c r="G198" s="5"/>
      <c r="H198" s="3" t="s">
        <v>1002</v>
      </c>
      <c r="I198" s="3" t="s">
        <v>1003</v>
      </c>
      <c r="J198" s="5" t="s">
        <v>48</v>
      </c>
      <c r="K198" s="7">
        <v>11.9694</v>
      </c>
      <c r="L198" s="11" t="s">
        <v>7</v>
      </c>
      <c r="M198" s="11" t="s">
        <v>256</v>
      </c>
      <c r="N198" s="5" t="s">
        <v>257</v>
      </c>
      <c r="O198" s="5" t="s">
        <v>669</v>
      </c>
      <c r="P198" s="5" t="s">
        <v>669</v>
      </c>
      <c r="Q198" s="3" t="s">
        <v>733</v>
      </c>
      <c r="R198" s="3" t="s">
        <v>260</v>
      </c>
    </row>
    <row r="199" spans="1:18" ht="46" customHeight="1">
      <c r="A199" s="9">
        <v>194</v>
      </c>
      <c r="B199" s="5" t="s">
        <v>1004</v>
      </c>
      <c r="C199" s="5" t="s">
        <v>27</v>
      </c>
      <c r="D199" s="5" t="s">
        <v>969</v>
      </c>
      <c r="E199" s="5" t="s">
        <v>15</v>
      </c>
      <c r="F199" s="5" t="s">
        <v>274</v>
      </c>
      <c r="G199" s="5"/>
      <c r="H199" s="3" t="s">
        <v>1005</v>
      </c>
      <c r="I199" s="3" t="s">
        <v>1006</v>
      </c>
      <c r="J199" s="5" t="s">
        <v>48</v>
      </c>
      <c r="K199" s="7">
        <v>9.3917000000000002</v>
      </c>
      <c r="L199" s="11" t="s">
        <v>7</v>
      </c>
      <c r="M199" s="11" t="s">
        <v>256</v>
      </c>
      <c r="N199" s="5" t="s">
        <v>257</v>
      </c>
      <c r="O199" s="5" t="s">
        <v>375</v>
      </c>
      <c r="P199" s="5" t="s">
        <v>375</v>
      </c>
      <c r="Q199" s="3" t="s">
        <v>376</v>
      </c>
      <c r="R199" s="3" t="s">
        <v>260</v>
      </c>
    </row>
    <row r="200" spans="1:18" ht="46" customHeight="1">
      <c r="A200" s="9">
        <v>195</v>
      </c>
      <c r="B200" s="5" t="s">
        <v>1007</v>
      </c>
      <c r="C200" s="5" t="s">
        <v>27</v>
      </c>
      <c r="D200" s="5" t="s">
        <v>969</v>
      </c>
      <c r="E200" s="5" t="s">
        <v>16</v>
      </c>
      <c r="F200" s="5" t="s">
        <v>274</v>
      </c>
      <c r="G200" s="5"/>
      <c r="H200" s="3" t="s">
        <v>1008</v>
      </c>
      <c r="I200" s="3" t="s">
        <v>1009</v>
      </c>
      <c r="J200" s="5" t="s">
        <v>48</v>
      </c>
      <c r="K200" s="7">
        <v>3.2759999999999998</v>
      </c>
      <c r="L200" s="11" t="s">
        <v>7</v>
      </c>
      <c r="M200" s="11" t="s">
        <v>256</v>
      </c>
      <c r="N200" s="5" t="s">
        <v>257</v>
      </c>
      <c r="O200" s="5" t="s">
        <v>465</v>
      </c>
      <c r="P200" s="5" t="s">
        <v>465</v>
      </c>
      <c r="Q200" s="3" t="s">
        <v>466</v>
      </c>
      <c r="R200" s="3" t="s">
        <v>260</v>
      </c>
    </row>
    <row r="201" spans="1:18" ht="46" customHeight="1">
      <c r="A201" s="9">
        <v>196</v>
      </c>
      <c r="B201" s="5" t="s">
        <v>1010</v>
      </c>
      <c r="C201" s="5" t="s">
        <v>27</v>
      </c>
      <c r="D201" s="5" t="s">
        <v>1011</v>
      </c>
      <c r="E201" s="5" t="s">
        <v>15</v>
      </c>
      <c r="F201" s="5" t="s">
        <v>274</v>
      </c>
      <c r="G201" s="5"/>
      <c r="H201" s="3" t="s">
        <v>1012</v>
      </c>
      <c r="I201" s="3" t="s">
        <v>1013</v>
      </c>
      <c r="J201" s="5" t="s">
        <v>48</v>
      </c>
      <c r="K201" s="7">
        <v>21.116099999999999</v>
      </c>
      <c r="L201" s="11" t="s">
        <v>7</v>
      </c>
      <c r="M201" s="11" t="s">
        <v>256</v>
      </c>
      <c r="N201" s="5" t="s">
        <v>257</v>
      </c>
      <c r="O201" s="5" t="s">
        <v>89</v>
      </c>
      <c r="P201" s="5" t="s">
        <v>89</v>
      </c>
      <c r="Q201" s="3" t="s">
        <v>371</v>
      </c>
      <c r="R201" s="3" t="s">
        <v>260</v>
      </c>
    </row>
    <row r="202" spans="1:18" ht="46" customHeight="1">
      <c r="A202" s="9">
        <v>197</v>
      </c>
      <c r="B202" s="5" t="s">
        <v>1014</v>
      </c>
      <c r="C202" s="5" t="s">
        <v>27</v>
      </c>
      <c r="D202" s="5" t="s">
        <v>1011</v>
      </c>
      <c r="E202" s="5" t="s">
        <v>15</v>
      </c>
      <c r="F202" s="5" t="s">
        <v>274</v>
      </c>
      <c r="G202" s="5"/>
      <c r="H202" s="3" t="s">
        <v>1015</v>
      </c>
      <c r="I202" s="3" t="s">
        <v>1016</v>
      </c>
      <c r="J202" s="5" t="s">
        <v>48</v>
      </c>
      <c r="K202" s="7">
        <v>12.741099999999999</v>
      </c>
      <c r="L202" s="11" t="s">
        <v>7</v>
      </c>
      <c r="M202" s="11" t="s">
        <v>256</v>
      </c>
      <c r="N202" s="5" t="s">
        <v>257</v>
      </c>
      <c r="O202" s="5" t="s">
        <v>89</v>
      </c>
      <c r="P202" s="5" t="s">
        <v>89</v>
      </c>
      <c r="Q202" s="3" t="s">
        <v>371</v>
      </c>
      <c r="R202" s="3" t="s">
        <v>260</v>
      </c>
    </row>
    <row r="203" spans="1:18" ht="46" customHeight="1">
      <c r="A203" s="9">
        <v>198</v>
      </c>
      <c r="B203" s="5" t="s">
        <v>1017</v>
      </c>
      <c r="C203" s="5" t="s">
        <v>27</v>
      </c>
      <c r="D203" s="5" t="s">
        <v>1011</v>
      </c>
      <c r="E203" s="5" t="s">
        <v>15</v>
      </c>
      <c r="F203" s="5" t="s">
        <v>274</v>
      </c>
      <c r="G203" s="5"/>
      <c r="H203" s="3" t="s">
        <v>1018</v>
      </c>
      <c r="I203" s="3" t="s">
        <v>1019</v>
      </c>
      <c r="J203" s="5" t="s">
        <v>48</v>
      </c>
      <c r="K203" s="7">
        <v>2.2073999999999998</v>
      </c>
      <c r="L203" s="11" t="s">
        <v>7</v>
      </c>
      <c r="M203" s="11" t="s">
        <v>256</v>
      </c>
      <c r="N203" s="5" t="s">
        <v>257</v>
      </c>
      <c r="O203" s="5" t="s">
        <v>89</v>
      </c>
      <c r="P203" s="5" t="s">
        <v>89</v>
      </c>
      <c r="Q203" s="3" t="s">
        <v>371</v>
      </c>
      <c r="R203" s="3" t="s">
        <v>260</v>
      </c>
    </row>
    <row r="204" spans="1:18" ht="46" customHeight="1">
      <c r="A204" s="9">
        <v>199</v>
      </c>
      <c r="B204" s="5" t="s">
        <v>169</v>
      </c>
      <c r="C204" s="5" t="s">
        <v>27</v>
      </c>
      <c r="D204" s="5" t="s">
        <v>1011</v>
      </c>
      <c r="E204" s="5" t="s">
        <v>15</v>
      </c>
      <c r="F204" s="5" t="s">
        <v>274</v>
      </c>
      <c r="G204" s="5"/>
      <c r="H204" s="3" t="s">
        <v>1020</v>
      </c>
      <c r="I204" s="3" t="s">
        <v>1021</v>
      </c>
      <c r="J204" s="5" t="s">
        <v>48</v>
      </c>
      <c r="K204" s="7">
        <v>19.677399999999999</v>
      </c>
      <c r="L204" s="11" t="s">
        <v>7</v>
      </c>
      <c r="M204" s="11" t="s">
        <v>256</v>
      </c>
      <c r="N204" s="5" t="s">
        <v>257</v>
      </c>
      <c r="O204" s="5" t="s">
        <v>89</v>
      </c>
      <c r="P204" s="5" t="s">
        <v>89</v>
      </c>
      <c r="Q204" s="3" t="s">
        <v>371</v>
      </c>
      <c r="R204" s="3" t="s">
        <v>260</v>
      </c>
    </row>
    <row r="205" spans="1:18" ht="46" customHeight="1">
      <c r="A205" s="9">
        <v>200</v>
      </c>
      <c r="B205" s="5" t="s">
        <v>1022</v>
      </c>
      <c r="C205" s="5" t="s">
        <v>27</v>
      </c>
      <c r="D205" s="5" t="s">
        <v>1011</v>
      </c>
      <c r="E205" s="5" t="s">
        <v>15</v>
      </c>
      <c r="F205" s="5" t="s">
        <v>274</v>
      </c>
      <c r="G205" s="5"/>
      <c r="H205" s="3" t="s">
        <v>1023</v>
      </c>
      <c r="I205" s="3" t="s">
        <v>1024</v>
      </c>
      <c r="J205" s="5" t="s">
        <v>48</v>
      </c>
      <c r="K205" s="7">
        <v>17.0383</v>
      </c>
      <c r="L205" s="11" t="s">
        <v>7</v>
      </c>
      <c r="M205" s="11" t="s">
        <v>256</v>
      </c>
      <c r="N205" s="5" t="s">
        <v>257</v>
      </c>
      <c r="O205" s="5" t="s">
        <v>89</v>
      </c>
      <c r="P205" s="5" t="s">
        <v>89</v>
      </c>
      <c r="Q205" s="3" t="s">
        <v>371</v>
      </c>
      <c r="R205" s="3" t="s">
        <v>260</v>
      </c>
    </row>
    <row r="206" spans="1:18" ht="46" customHeight="1">
      <c r="A206" s="9">
        <v>201</v>
      </c>
      <c r="B206" s="5" t="s">
        <v>1025</v>
      </c>
      <c r="C206" s="5" t="s">
        <v>27</v>
      </c>
      <c r="D206" s="5" t="s">
        <v>1011</v>
      </c>
      <c r="E206" s="5" t="s">
        <v>15</v>
      </c>
      <c r="F206" s="5" t="s">
        <v>274</v>
      </c>
      <c r="G206" s="5"/>
      <c r="H206" s="3" t="s">
        <v>1026</v>
      </c>
      <c r="I206" s="3" t="s">
        <v>1027</v>
      </c>
      <c r="J206" s="5" t="s">
        <v>48</v>
      </c>
      <c r="K206" s="7">
        <v>11.202400000000001</v>
      </c>
      <c r="L206" s="11" t="s">
        <v>7</v>
      </c>
      <c r="M206" s="11" t="s">
        <v>256</v>
      </c>
      <c r="N206" s="5" t="s">
        <v>257</v>
      </c>
      <c r="O206" s="5" t="s">
        <v>63</v>
      </c>
      <c r="P206" s="5" t="s">
        <v>63</v>
      </c>
      <c r="Q206" s="3" t="s">
        <v>316</v>
      </c>
      <c r="R206" s="3" t="s">
        <v>260</v>
      </c>
    </row>
    <row r="207" spans="1:18" ht="46" customHeight="1">
      <c r="A207" s="9">
        <v>202</v>
      </c>
      <c r="B207" s="5" t="s">
        <v>1028</v>
      </c>
      <c r="C207" s="5" t="s">
        <v>27</v>
      </c>
      <c r="D207" s="5" t="s">
        <v>1011</v>
      </c>
      <c r="E207" s="5" t="s">
        <v>15</v>
      </c>
      <c r="F207" s="5" t="s">
        <v>274</v>
      </c>
      <c r="G207" s="5"/>
      <c r="H207" s="3" t="s">
        <v>1029</v>
      </c>
      <c r="I207" s="3" t="s">
        <v>1030</v>
      </c>
      <c r="J207" s="5" t="s">
        <v>48</v>
      </c>
      <c r="K207" s="7">
        <v>3.4735</v>
      </c>
      <c r="L207" s="11" t="s">
        <v>7</v>
      </c>
      <c r="M207" s="11" t="s">
        <v>256</v>
      </c>
      <c r="N207" s="5" t="s">
        <v>257</v>
      </c>
      <c r="O207" s="5" t="s">
        <v>89</v>
      </c>
      <c r="P207" s="5" t="s">
        <v>89</v>
      </c>
      <c r="Q207" s="3" t="s">
        <v>371</v>
      </c>
      <c r="R207" s="3" t="s">
        <v>260</v>
      </c>
    </row>
    <row r="208" spans="1:18" ht="46" customHeight="1">
      <c r="A208" s="9">
        <v>203</v>
      </c>
      <c r="B208" s="5" t="s">
        <v>1031</v>
      </c>
      <c r="C208" s="5" t="s">
        <v>27</v>
      </c>
      <c r="D208" s="5" t="s">
        <v>1011</v>
      </c>
      <c r="E208" s="5" t="s">
        <v>15</v>
      </c>
      <c r="F208" s="5" t="s">
        <v>274</v>
      </c>
      <c r="G208" s="5"/>
      <c r="H208" s="3" t="s">
        <v>1032</v>
      </c>
      <c r="I208" s="3" t="s">
        <v>1033</v>
      </c>
      <c r="J208" s="5" t="s">
        <v>48</v>
      </c>
      <c r="K208" s="7">
        <v>13.523999999999999</v>
      </c>
      <c r="L208" s="11" t="s">
        <v>7</v>
      </c>
      <c r="M208" s="11" t="s">
        <v>256</v>
      </c>
      <c r="N208" s="5" t="s">
        <v>257</v>
      </c>
      <c r="O208" s="5" t="s">
        <v>89</v>
      </c>
      <c r="P208" s="5" t="s">
        <v>89</v>
      </c>
      <c r="Q208" s="3" t="s">
        <v>371</v>
      </c>
      <c r="R208" s="3" t="s">
        <v>260</v>
      </c>
    </row>
    <row r="209" spans="1:18" ht="46" customHeight="1">
      <c r="A209" s="9">
        <v>204</v>
      </c>
      <c r="B209" s="5" t="s">
        <v>172</v>
      </c>
      <c r="C209" s="5" t="s">
        <v>27</v>
      </c>
      <c r="D209" s="5" t="s">
        <v>1011</v>
      </c>
      <c r="E209" s="5" t="s">
        <v>15</v>
      </c>
      <c r="F209" s="5" t="s">
        <v>274</v>
      </c>
      <c r="G209" s="5"/>
      <c r="H209" s="3" t="s">
        <v>1034</v>
      </c>
      <c r="I209" s="3" t="s">
        <v>1035</v>
      </c>
      <c r="J209" s="5" t="s">
        <v>48</v>
      </c>
      <c r="K209" s="7">
        <v>4.4917999999999996</v>
      </c>
      <c r="L209" s="11" t="s">
        <v>7</v>
      </c>
      <c r="M209" s="11" t="s">
        <v>256</v>
      </c>
      <c r="N209" s="5" t="s">
        <v>257</v>
      </c>
      <c r="O209" s="5" t="s">
        <v>63</v>
      </c>
      <c r="P209" s="5" t="s">
        <v>63</v>
      </c>
      <c r="Q209" s="3" t="s">
        <v>316</v>
      </c>
      <c r="R209" s="3" t="s">
        <v>260</v>
      </c>
    </row>
    <row r="210" spans="1:18" ht="46" customHeight="1">
      <c r="A210" s="9">
        <v>205</v>
      </c>
      <c r="B210" s="5" t="s">
        <v>1036</v>
      </c>
      <c r="C210" s="5" t="s">
        <v>27</v>
      </c>
      <c r="D210" s="5" t="s">
        <v>1011</v>
      </c>
      <c r="E210" s="5" t="s">
        <v>15</v>
      </c>
      <c r="F210" s="5" t="s">
        <v>274</v>
      </c>
      <c r="G210" s="5"/>
      <c r="H210" s="3" t="s">
        <v>1037</v>
      </c>
      <c r="I210" s="3" t="s">
        <v>1038</v>
      </c>
      <c r="J210" s="5" t="s">
        <v>48</v>
      </c>
      <c r="K210" s="7">
        <v>22.246300000000002</v>
      </c>
      <c r="L210" s="11" t="s">
        <v>7</v>
      </c>
      <c r="M210" s="11" t="s">
        <v>256</v>
      </c>
      <c r="N210" s="5" t="s">
        <v>257</v>
      </c>
      <c r="O210" s="5" t="s">
        <v>1039</v>
      </c>
      <c r="P210" s="5" t="s">
        <v>1039</v>
      </c>
      <c r="Q210" s="3" t="s">
        <v>1040</v>
      </c>
      <c r="R210" s="3" t="s">
        <v>260</v>
      </c>
    </row>
    <row r="211" spans="1:18" ht="46" customHeight="1">
      <c r="A211" s="9">
        <v>206</v>
      </c>
      <c r="B211" s="5" t="s">
        <v>1041</v>
      </c>
      <c r="C211" s="5" t="s">
        <v>27</v>
      </c>
      <c r="D211" s="5" t="s">
        <v>1011</v>
      </c>
      <c r="E211" s="5" t="s">
        <v>15</v>
      </c>
      <c r="F211" s="5" t="s">
        <v>274</v>
      </c>
      <c r="G211" s="5"/>
      <c r="H211" s="3" t="s">
        <v>1042</v>
      </c>
      <c r="I211" s="3" t="s">
        <v>1043</v>
      </c>
      <c r="J211" s="5" t="s">
        <v>48</v>
      </c>
      <c r="K211" s="7">
        <v>11.174799999999999</v>
      </c>
      <c r="L211" s="11" t="s">
        <v>7</v>
      </c>
      <c r="M211" s="11" t="s">
        <v>256</v>
      </c>
      <c r="N211" s="5" t="s">
        <v>257</v>
      </c>
      <c r="O211" s="5" t="s">
        <v>465</v>
      </c>
      <c r="P211" s="5" t="s">
        <v>465</v>
      </c>
      <c r="Q211" s="3" t="s">
        <v>466</v>
      </c>
      <c r="R211" s="3" t="s">
        <v>260</v>
      </c>
    </row>
    <row r="212" spans="1:18" ht="46" customHeight="1">
      <c r="A212" s="9">
        <v>207</v>
      </c>
      <c r="B212" s="5" t="s">
        <v>1044</v>
      </c>
      <c r="C212" s="5" t="s">
        <v>27</v>
      </c>
      <c r="D212" s="5" t="s">
        <v>1011</v>
      </c>
      <c r="E212" s="5" t="s">
        <v>15</v>
      </c>
      <c r="F212" s="5" t="s">
        <v>274</v>
      </c>
      <c r="G212" s="5"/>
      <c r="H212" s="3" t="s">
        <v>1045</v>
      </c>
      <c r="I212" s="3" t="s">
        <v>1046</v>
      </c>
      <c r="J212" s="5" t="s">
        <v>48</v>
      </c>
      <c r="K212" s="7">
        <v>7.1135999999999999</v>
      </c>
      <c r="L212" s="11" t="s">
        <v>7</v>
      </c>
      <c r="M212" s="11" t="s">
        <v>256</v>
      </c>
      <c r="N212" s="5" t="s">
        <v>257</v>
      </c>
      <c r="O212" s="5" t="s">
        <v>89</v>
      </c>
      <c r="P212" s="5" t="s">
        <v>89</v>
      </c>
      <c r="Q212" s="3" t="s">
        <v>371</v>
      </c>
      <c r="R212" s="3" t="s">
        <v>260</v>
      </c>
    </row>
    <row r="213" spans="1:18" ht="46" customHeight="1">
      <c r="A213" s="9">
        <v>208</v>
      </c>
      <c r="B213" s="5" t="s">
        <v>175</v>
      </c>
      <c r="C213" s="5" t="s">
        <v>27</v>
      </c>
      <c r="D213" s="5" t="s">
        <v>1011</v>
      </c>
      <c r="E213" s="5" t="s">
        <v>15</v>
      </c>
      <c r="F213" s="5" t="s">
        <v>274</v>
      </c>
      <c r="G213" s="5"/>
      <c r="H213" s="3" t="s">
        <v>1047</v>
      </c>
      <c r="I213" s="3" t="s">
        <v>1048</v>
      </c>
      <c r="J213" s="5" t="s">
        <v>48</v>
      </c>
      <c r="K213" s="7">
        <v>3.5358000000000001</v>
      </c>
      <c r="L213" s="11" t="s">
        <v>7</v>
      </c>
      <c r="M213" s="11" t="s">
        <v>256</v>
      </c>
      <c r="N213" s="5" t="s">
        <v>257</v>
      </c>
      <c r="O213" s="5" t="s">
        <v>1049</v>
      </c>
      <c r="P213" s="5" t="s">
        <v>1049</v>
      </c>
      <c r="Q213" s="3" t="s">
        <v>1050</v>
      </c>
      <c r="R213" s="3" t="s">
        <v>260</v>
      </c>
    </row>
    <row r="214" spans="1:18" ht="46" customHeight="1">
      <c r="A214" s="9">
        <v>209</v>
      </c>
      <c r="B214" s="5" t="s">
        <v>1051</v>
      </c>
      <c r="C214" s="5" t="s">
        <v>27</v>
      </c>
      <c r="D214" s="5" t="s">
        <v>1011</v>
      </c>
      <c r="E214" s="5" t="s">
        <v>15</v>
      </c>
      <c r="F214" s="5" t="s">
        <v>274</v>
      </c>
      <c r="G214" s="5"/>
      <c r="H214" s="3" t="s">
        <v>1052</v>
      </c>
      <c r="I214" s="3" t="s">
        <v>1053</v>
      </c>
      <c r="J214" s="5" t="s">
        <v>48</v>
      </c>
      <c r="K214" s="7">
        <v>15.4374</v>
      </c>
      <c r="L214" s="11" t="s">
        <v>7</v>
      </c>
      <c r="M214" s="11" t="s">
        <v>256</v>
      </c>
      <c r="N214" s="5" t="s">
        <v>257</v>
      </c>
      <c r="O214" s="5" t="s">
        <v>63</v>
      </c>
      <c r="P214" s="5" t="s">
        <v>63</v>
      </c>
      <c r="Q214" s="3" t="s">
        <v>316</v>
      </c>
      <c r="R214" s="3" t="s">
        <v>260</v>
      </c>
    </row>
    <row r="215" spans="1:18" ht="46" customHeight="1">
      <c r="A215" s="9">
        <v>210</v>
      </c>
      <c r="B215" s="5" t="s">
        <v>1054</v>
      </c>
      <c r="C215" s="5" t="s">
        <v>27</v>
      </c>
      <c r="D215" s="5" t="s">
        <v>1011</v>
      </c>
      <c r="E215" s="5" t="s">
        <v>15</v>
      </c>
      <c r="F215" s="5" t="s">
        <v>261</v>
      </c>
      <c r="G215" s="5"/>
      <c r="H215" s="3" t="s">
        <v>1055</v>
      </c>
      <c r="I215" s="3" t="s">
        <v>1056</v>
      </c>
      <c r="J215" s="5" t="s">
        <v>48</v>
      </c>
      <c r="K215" s="7">
        <v>4.0214999999999996</v>
      </c>
      <c r="L215" s="11" t="s">
        <v>7</v>
      </c>
      <c r="M215" s="11" t="s">
        <v>256</v>
      </c>
      <c r="N215" s="5" t="s">
        <v>257</v>
      </c>
      <c r="O215" s="5" t="s">
        <v>609</v>
      </c>
      <c r="P215" s="5" t="s">
        <v>609</v>
      </c>
      <c r="Q215" s="3" t="s">
        <v>610</v>
      </c>
      <c r="R215" s="3" t="s">
        <v>260</v>
      </c>
    </row>
    <row r="216" spans="1:18" ht="46" customHeight="1">
      <c r="A216" s="9">
        <v>211</v>
      </c>
      <c r="B216" s="5" t="s">
        <v>236</v>
      </c>
      <c r="C216" s="5" t="s">
        <v>27</v>
      </c>
      <c r="D216" s="5" t="s">
        <v>1057</v>
      </c>
      <c r="E216" s="5" t="s">
        <v>17</v>
      </c>
      <c r="F216" s="5" t="s">
        <v>274</v>
      </c>
      <c r="G216" s="5"/>
      <c r="H216" s="3" t="s">
        <v>1058</v>
      </c>
      <c r="I216" s="3" t="s">
        <v>1059</v>
      </c>
      <c r="J216" s="5" t="s">
        <v>48</v>
      </c>
      <c r="K216" s="7">
        <v>11.3909</v>
      </c>
      <c r="L216" s="11" t="s">
        <v>7</v>
      </c>
      <c r="M216" s="11" t="s">
        <v>506</v>
      </c>
      <c r="N216" s="5" t="s">
        <v>257</v>
      </c>
      <c r="O216" s="5" t="s">
        <v>1060</v>
      </c>
      <c r="P216" s="5" t="s">
        <v>1061</v>
      </c>
      <c r="Q216" s="3" t="s">
        <v>1062</v>
      </c>
      <c r="R216" s="3" t="s">
        <v>260</v>
      </c>
    </row>
    <row r="217" spans="1:18" ht="46" customHeight="1">
      <c r="A217" s="9">
        <v>212</v>
      </c>
      <c r="B217" s="5" t="s">
        <v>1063</v>
      </c>
      <c r="C217" s="5" t="s">
        <v>27</v>
      </c>
      <c r="D217" s="5" t="s">
        <v>1057</v>
      </c>
      <c r="E217" s="5" t="s">
        <v>17</v>
      </c>
      <c r="F217" s="5" t="s">
        <v>274</v>
      </c>
      <c r="G217" s="5"/>
      <c r="H217" s="3" t="s">
        <v>1064</v>
      </c>
      <c r="I217" s="3" t="s">
        <v>1065</v>
      </c>
      <c r="J217" s="5" t="s">
        <v>48</v>
      </c>
      <c r="K217" s="7">
        <v>4.5461999999999998</v>
      </c>
      <c r="L217" s="11" t="s">
        <v>7</v>
      </c>
      <c r="M217" s="11" t="s">
        <v>506</v>
      </c>
      <c r="N217" s="5" t="s">
        <v>257</v>
      </c>
      <c r="O217" s="5" t="s">
        <v>1066</v>
      </c>
      <c r="P217" s="5" t="s">
        <v>1067</v>
      </c>
      <c r="Q217" s="3" t="s">
        <v>1068</v>
      </c>
      <c r="R217" s="3" t="s">
        <v>260</v>
      </c>
    </row>
    <row r="218" spans="1:18" ht="46" customHeight="1">
      <c r="A218" s="9">
        <v>213</v>
      </c>
      <c r="B218" s="5" t="s">
        <v>1069</v>
      </c>
      <c r="C218" s="5" t="s">
        <v>27</v>
      </c>
      <c r="D218" s="5" t="s">
        <v>1057</v>
      </c>
      <c r="E218" s="5" t="s">
        <v>17</v>
      </c>
      <c r="F218" s="5" t="s">
        <v>274</v>
      </c>
      <c r="G218" s="5"/>
      <c r="H218" s="3" t="s">
        <v>1070</v>
      </c>
      <c r="I218" s="3" t="s">
        <v>1071</v>
      </c>
      <c r="J218" s="5" t="s">
        <v>48</v>
      </c>
      <c r="K218" s="7">
        <v>10.2415</v>
      </c>
      <c r="L218" s="11" t="s">
        <v>7</v>
      </c>
      <c r="M218" s="11" t="s">
        <v>506</v>
      </c>
      <c r="N218" s="5" t="s">
        <v>257</v>
      </c>
      <c r="O218" s="5" t="s">
        <v>1072</v>
      </c>
      <c r="P218" s="5" t="s">
        <v>1073</v>
      </c>
      <c r="Q218" s="3" t="s">
        <v>1074</v>
      </c>
      <c r="R218" s="3" t="s">
        <v>260</v>
      </c>
    </row>
    <row r="219" spans="1:18" ht="46" customHeight="1">
      <c r="A219" s="9">
        <v>214</v>
      </c>
      <c r="B219" s="5" t="s">
        <v>1075</v>
      </c>
      <c r="C219" s="5" t="s">
        <v>27</v>
      </c>
      <c r="D219" s="5" t="s">
        <v>1057</v>
      </c>
      <c r="E219" s="5" t="s">
        <v>17</v>
      </c>
      <c r="F219" s="5" t="s">
        <v>274</v>
      </c>
      <c r="G219" s="5"/>
      <c r="H219" s="3" t="s">
        <v>1076</v>
      </c>
      <c r="I219" s="3" t="s">
        <v>1077</v>
      </c>
      <c r="J219" s="5" t="s">
        <v>48</v>
      </c>
      <c r="K219" s="7">
        <v>3.6916000000000002</v>
      </c>
      <c r="L219" s="11" t="s">
        <v>7</v>
      </c>
      <c r="M219" s="11" t="s">
        <v>506</v>
      </c>
      <c r="N219" s="5" t="s">
        <v>257</v>
      </c>
      <c r="O219" s="5" t="s">
        <v>1078</v>
      </c>
      <c r="P219" s="5" t="s">
        <v>1079</v>
      </c>
      <c r="Q219" s="3" t="s">
        <v>1080</v>
      </c>
      <c r="R219" s="3" t="s">
        <v>260</v>
      </c>
    </row>
    <row r="220" spans="1:18" ht="46" customHeight="1">
      <c r="A220" s="9">
        <v>215</v>
      </c>
      <c r="B220" s="5" t="s">
        <v>1081</v>
      </c>
      <c r="C220" s="5" t="s">
        <v>27</v>
      </c>
      <c r="D220" s="5" t="s">
        <v>1057</v>
      </c>
      <c r="E220" s="5" t="s">
        <v>17</v>
      </c>
      <c r="F220" s="5" t="s">
        <v>274</v>
      </c>
      <c r="G220" s="5"/>
      <c r="H220" s="3" t="s">
        <v>1082</v>
      </c>
      <c r="I220" s="3" t="s">
        <v>1083</v>
      </c>
      <c r="J220" s="5" t="s">
        <v>48</v>
      </c>
      <c r="K220" s="7">
        <v>7.6078000000000001</v>
      </c>
      <c r="L220" s="11" t="s">
        <v>7</v>
      </c>
      <c r="M220" s="11" t="s">
        <v>506</v>
      </c>
      <c r="N220" s="5" t="s">
        <v>257</v>
      </c>
      <c r="O220" s="5" t="s">
        <v>1084</v>
      </c>
      <c r="P220" s="5" t="s">
        <v>1085</v>
      </c>
      <c r="Q220" s="3" t="s">
        <v>1086</v>
      </c>
      <c r="R220" s="3" t="s">
        <v>260</v>
      </c>
    </row>
    <row r="221" spans="1:18" ht="46" customHeight="1">
      <c r="A221" s="9">
        <v>216</v>
      </c>
      <c r="B221" s="5" t="s">
        <v>1087</v>
      </c>
      <c r="C221" s="5" t="s">
        <v>27</v>
      </c>
      <c r="D221" s="5" t="s">
        <v>1057</v>
      </c>
      <c r="E221" s="5" t="s">
        <v>17</v>
      </c>
      <c r="F221" s="5" t="s">
        <v>274</v>
      </c>
      <c r="G221" s="5"/>
      <c r="H221" s="3" t="s">
        <v>1088</v>
      </c>
      <c r="I221" s="3" t="s">
        <v>1089</v>
      </c>
      <c r="J221" s="5" t="s">
        <v>48</v>
      </c>
      <c r="K221" s="7">
        <v>12.859400000000001</v>
      </c>
      <c r="L221" s="11" t="s">
        <v>7</v>
      </c>
      <c r="M221" s="11" t="s">
        <v>506</v>
      </c>
      <c r="N221" s="5" t="s">
        <v>257</v>
      </c>
      <c r="O221" s="5" t="s">
        <v>1090</v>
      </c>
      <c r="P221" s="5" t="s">
        <v>1091</v>
      </c>
      <c r="Q221" s="3" t="s">
        <v>1092</v>
      </c>
      <c r="R221" s="3" t="s">
        <v>260</v>
      </c>
    </row>
    <row r="222" spans="1:18" ht="46" customHeight="1">
      <c r="A222" s="9">
        <v>217</v>
      </c>
      <c r="B222" s="5" t="s">
        <v>1093</v>
      </c>
      <c r="C222" s="5" t="s">
        <v>27</v>
      </c>
      <c r="D222" s="5" t="s">
        <v>1057</v>
      </c>
      <c r="E222" s="5" t="s">
        <v>17</v>
      </c>
      <c r="F222" s="5" t="s">
        <v>274</v>
      </c>
      <c r="G222" s="5"/>
      <c r="H222" s="3" t="s">
        <v>1094</v>
      </c>
      <c r="I222" s="3" t="s">
        <v>1095</v>
      </c>
      <c r="J222" s="5" t="s">
        <v>48</v>
      </c>
      <c r="K222" s="7">
        <v>7.5810000000000004</v>
      </c>
      <c r="L222" s="11" t="s">
        <v>7</v>
      </c>
      <c r="M222" s="11" t="s">
        <v>506</v>
      </c>
      <c r="N222" s="5" t="s">
        <v>257</v>
      </c>
      <c r="O222" s="5" t="s">
        <v>1096</v>
      </c>
      <c r="P222" s="5" t="s">
        <v>1097</v>
      </c>
      <c r="Q222" s="3" t="s">
        <v>1098</v>
      </c>
      <c r="R222" s="3" t="s">
        <v>260</v>
      </c>
    </row>
    <row r="223" spans="1:18" ht="46" customHeight="1">
      <c r="A223" s="9">
        <v>218</v>
      </c>
      <c r="B223" s="5" t="s">
        <v>1099</v>
      </c>
      <c r="C223" s="5" t="s">
        <v>27</v>
      </c>
      <c r="D223" s="5" t="s">
        <v>1057</v>
      </c>
      <c r="E223" s="5" t="s">
        <v>17</v>
      </c>
      <c r="F223" s="5" t="s">
        <v>274</v>
      </c>
      <c r="G223" s="5"/>
      <c r="H223" s="3" t="s">
        <v>1100</v>
      </c>
      <c r="I223" s="3" t="s">
        <v>1101</v>
      </c>
      <c r="J223" s="5" t="s">
        <v>48</v>
      </c>
      <c r="K223" s="7">
        <v>2.3090999999999999</v>
      </c>
      <c r="L223" s="11" t="s">
        <v>7</v>
      </c>
      <c r="M223" s="11" t="s">
        <v>506</v>
      </c>
      <c r="N223" s="5" t="s">
        <v>257</v>
      </c>
      <c r="O223" s="5" t="s">
        <v>1102</v>
      </c>
      <c r="P223" s="5" t="s">
        <v>1103</v>
      </c>
      <c r="Q223" s="3" t="s">
        <v>1104</v>
      </c>
      <c r="R223" s="3" t="s">
        <v>260</v>
      </c>
    </row>
    <row r="224" spans="1:18" ht="46" customHeight="1">
      <c r="A224" s="9">
        <v>219</v>
      </c>
      <c r="B224" s="5" t="s">
        <v>1105</v>
      </c>
      <c r="C224" s="5" t="s">
        <v>27</v>
      </c>
      <c r="D224" s="5" t="s">
        <v>1057</v>
      </c>
      <c r="E224" s="5" t="s">
        <v>17</v>
      </c>
      <c r="F224" s="5" t="s">
        <v>274</v>
      </c>
      <c r="G224" s="5"/>
      <c r="H224" s="3" t="s">
        <v>1106</v>
      </c>
      <c r="I224" s="3" t="s">
        <v>1107</v>
      </c>
      <c r="J224" s="5" t="s">
        <v>48</v>
      </c>
      <c r="K224" s="7">
        <v>4.0902000000000003</v>
      </c>
      <c r="L224" s="11" t="s">
        <v>7</v>
      </c>
      <c r="M224" s="11" t="s">
        <v>506</v>
      </c>
      <c r="N224" s="5" t="s">
        <v>257</v>
      </c>
      <c r="O224" s="5" t="s">
        <v>1108</v>
      </c>
      <c r="P224" s="5" t="s">
        <v>1109</v>
      </c>
      <c r="Q224" s="3" t="s">
        <v>1110</v>
      </c>
      <c r="R224" s="3" t="s">
        <v>260</v>
      </c>
    </row>
    <row r="225" spans="1:18" ht="46" customHeight="1">
      <c r="A225" s="9">
        <v>220</v>
      </c>
      <c r="B225" s="5" t="s">
        <v>1111</v>
      </c>
      <c r="C225" s="5" t="s">
        <v>27</v>
      </c>
      <c r="D225" s="5" t="s">
        <v>1057</v>
      </c>
      <c r="E225" s="5" t="s">
        <v>17</v>
      </c>
      <c r="F225" s="5" t="s">
        <v>274</v>
      </c>
      <c r="G225" s="5"/>
      <c r="H225" s="3" t="s">
        <v>1112</v>
      </c>
      <c r="I225" s="3" t="s">
        <v>1113</v>
      </c>
      <c r="J225" s="5" t="s">
        <v>48</v>
      </c>
      <c r="K225" s="7">
        <v>12.1439</v>
      </c>
      <c r="L225" s="11" t="s">
        <v>7</v>
      </c>
      <c r="M225" s="11" t="s">
        <v>506</v>
      </c>
      <c r="N225" s="5" t="s">
        <v>257</v>
      </c>
      <c r="O225" s="5" t="s">
        <v>853</v>
      </c>
      <c r="P225" s="5" t="s">
        <v>854</v>
      </c>
      <c r="Q225" s="3" t="s">
        <v>1114</v>
      </c>
      <c r="R225" s="3" t="s">
        <v>260</v>
      </c>
    </row>
    <row r="226" spans="1:18" ht="46" customHeight="1">
      <c r="A226" s="9">
        <v>221</v>
      </c>
      <c r="B226" s="5" t="s">
        <v>1115</v>
      </c>
      <c r="C226" s="5" t="s">
        <v>27</v>
      </c>
      <c r="D226" s="5" t="s">
        <v>1057</v>
      </c>
      <c r="E226" s="5" t="s">
        <v>17</v>
      </c>
      <c r="F226" s="5" t="s">
        <v>261</v>
      </c>
      <c r="G226" s="5"/>
      <c r="H226" s="3" t="s">
        <v>1116</v>
      </c>
      <c r="I226" s="3" t="s">
        <v>1117</v>
      </c>
      <c r="J226" s="5" t="s">
        <v>48</v>
      </c>
      <c r="K226" s="7">
        <v>2.9956</v>
      </c>
      <c r="L226" s="11" t="s">
        <v>7</v>
      </c>
      <c r="M226" s="11" t="s">
        <v>506</v>
      </c>
      <c r="N226" s="5" t="s">
        <v>257</v>
      </c>
      <c r="O226" s="5" t="s">
        <v>1118</v>
      </c>
      <c r="P226" s="5" t="s">
        <v>1119</v>
      </c>
      <c r="Q226" s="3" t="s">
        <v>1120</v>
      </c>
      <c r="R226" s="3" t="s">
        <v>260</v>
      </c>
    </row>
    <row r="227" spans="1:18" ht="46" customHeight="1">
      <c r="A227" s="9">
        <v>222</v>
      </c>
      <c r="B227" s="5" t="s">
        <v>1121</v>
      </c>
      <c r="C227" s="5" t="s">
        <v>27</v>
      </c>
      <c r="D227" s="5" t="s">
        <v>1057</v>
      </c>
      <c r="E227" s="5" t="s">
        <v>17</v>
      </c>
      <c r="F227" s="5" t="s">
        <v>274</v>
      </c>
      <c r="G227" s="5"/>
      <c r="H227" s="3" t="s">
        <v>1122</v>
      </c>
      <c r="I227" s="3" t="s">
        <v>1123</v>
      </c>
      <c r="J227" s="5" t="s">
        <v>48</v>
      </c>
      <c r="K227" s="7">
        <v>5.4745999999999997</v>
      </c>
      <c r="L227" s="11" t="s">
        <v>7</v>
      </c>
      <c r="M227" s="11" t="s">
        <v>506</v>
      </c>
      <c r="N227" s="5" t="s">
        <v>257</v>
      </c>
      <c r="O227" s="5" t="s">
        <v>1124</v>
      </c>
      <c r="P227" s="5" t="s">
        <v>1125</v>
      </c>
      <c r="Q227" s="3" t="s">
        <v>1126</v>
      </c>
      <c r="R227" s="3" t="s">
        <v>260</v>
      </c>
    </row>
    <row r="228" spans="1:18" ht="46" customHeight="1">
      <c r="A228" s="9">
        <v>223</v>
      </c>
      <c r="B228" s="5" t="s">
        <v>66</v>
      </c>
      <c r="C228" s="5" t="s">
        <v>27</v>
      </c>
      <c r="D228" s="5" t="s">
        <v>1057</v>
      </c>
      <c r="E228" s="5" t="s">
        <v>17</v>
      </c>
      <c r="F228" s="5" t="s">
        <v>261</v>
      </c>
      <c r="G228" s="5"/>
      <c r="H228" s="3" t="s">
        <v>67</v>
      </c>
      <c r="I228" s="3" t="s">
        <v>1127</v>
      </c>
      <c r="J228" s="5" t="s">
        <v>48</v>
      </c>
      <c r="K228" s="7">
        <v>0.30840000000000001</v>
      </c>
      <c r="L228" s="14" t="s">
        <v>10</v>
      </c>
      <c r="M228" s="14" t="s">
        <v>68</v>
      </c>
      <c r="N228" s="5" t="s">
        <v>257</v>
      </c>
      <c r="O228" s="5" t="s">
        <v>69</v>
      </c>
      <c r="P228" s="5" t="s">
        <v>70</v>
      </c>
      <c r="Q228" s="3" t="s">
        <v>71</v>
      </c>
      <c r="R228" s="3" t="s">
        <v>72</v>
      </c>
    </row>
    <row r="229" spans="1:18" ht="46" customHeight="1">
      <c r="A229" s="9">
        <v>224</v>
      </c>
      <c r="B229" s="5" t="s">
        <v>1128</v>
      </c>
      <c r="C229" s="5" t="s">
        <v>27</v>
      </c>
      <c r="D229" s="5" t="s">
        <v>1057</v>
      </c>
      <c r="E229" s="5" t="s">
        <v>17</v>
      </c>
      <c r="F229" s="5" t="s">
        <v>274</v>
      </c>
      <c r="G229" s="5"/>
      <c r="H229" s="3" t="s">
        <v>1129</v>
      </c>
      <c r="I229" s="3" t="s">
        <v>1130</v>
      </c>
      <c r="J229" s="5" t="s">
        <v>48</v>
      </c>
      <c r="K229" s="7">
        <v>12.3231</v>
      </c>
      <c r="L229" s="11" t="s">
        <v>7</v>
      </c>
      <c r="M229" s="11" t="s">
        <v>506</v>
      </c>
      <c r="N229" s="5" t="s">
        <v>257</v>
      </c>
      <c r="O229" s="5" t="s">
        <v>1131</v>
      </c>
      <c r="P229" s="5" t="s">
        <v>1132</v>
      </c>
      <c r="Q229" s="3" t="s">
        <v>1133</v>
      </c>
      <c r="R229" s="3" t="s">
        <v>260</v>
      </c>
    </row>
    <row r="230" spans="1:18" ht="46" customHeight="1">
      <c r="A230" s="9">
        <v>225</v>
      </c>
      <c r="B230" s="5" t="s">
        <v>1134</v>
      </c>
      <c r="C230" s="5" t="s">
        <v>27</v>
      </c>
      <c r="D230" s="5" t="s">
        <v>1057</v>
      </c>
      <c r="E230" s="5" t="s">
        <v>17</v>
      </c>
      <c r="F230" s="5" t="s">
        <v>261</v>
      </c>
      <c r="G230" s="5"/>
      <c r="H230" s="3" t="s">
        <v>1135</v>
      </c>
      <c r="I230" s="3" t="s">
        <v>1136</v>
      </c>
      <c r="J230" s="5" t="s">
        <v>48</v>
      </c>
      <c r="K230" s="7">
        <v>0.40489999999999998</v>
      </c>
      <c r="L230" s="11" t="s">
        <v>7</v>
      </c>
      <c r="M230" s="11" t="s">
        <v>506</v>
      </c>
      <c r="N230" s="5" t="s">
        <v>257</v>
      </c>
      <c r="O230" s="5" t="s">
        <v>1137</v>
      </c>
      <c r="P230" s="5" t="s">
        <v>1138</v>
      </c>
      <c r="Q230" s="3" t="s">
        <v>1139</v>
      </c>
      <c r="R230" s="3" t="s">
        <v>260</v>
      </c>
    </row>
    <row r="231" spans="1:18" ht="46" customHeight="1">
      <c r="A231" s="9">
        <v>226</v>
      </c>
      <c r="B231" s="5" t="s">
        <v>1140</v>
      </c>
      <c r="C231" s="5" t="s">
        <v>23</v>
      </c>
      <c r="D231" s="5" t="s">
        <v>252</v>
      </c>
      <c r="E231" s="5" t="s">
        <v>14</v>
      </c>
      <c r="F231" s="5" t="s">
        <v>253</v>
      </c>
      <c r="G231" s="5" t="s">
        <v>1141</v>
      </c>
      <c r="H231" s="3" t="s">
        <v>1142</v>
      </c>
      <c r="I231" s="3" t="s">
        <v>1143</v>
      </c>
      <c r="J231" s="5" t="s">
        <v>48</v>
      </c>
      <c r="K231" s="7">
        <v>0.14779999999999999</v>
      </c>
      <c r="L231" s="11" t="s">
        <v>7</v>
      </c>
      <c r="M231" s="11" t="s">
        <v>256</v>
      </c>
      <c r="N231" s="5" t="s">
        <v>257</v>
      </c>
      <c r="O231" s="5" t="s">
        <v>1144</v>
      </c>
      <c r="P231" s="5" t="s">
        <v>1144</v>
      </c>
      <c r="Q231" s="3" t="s">
        <v>1145</v>
      </c>
      <c r="R231" s="3" t="s">
        <v>260</v>
      </c>
    </row>
    <row r="232" spans="1:18" ht="46" customHeight="1">
      <c r="A232" s="9">
        <v>227</v>
      </c>
      <c r="B232" s="5" t="s">
        <v>207</v>
      </c>
      <c r="C232" s="5" t="s">
        <v>25</v>
      </c>
      <c r="D232" s="5" t="s">
        <v>637</v>
      </c>
      <c r="E232" s="5" t="s">
        <v>14</v>
      </c>
      <c r="F232" s="5" t="s">
        <v>261</v>
      </c>
      <c r="G232" s="5" t="s">
        <v>1141</v>
      </c>
      <c r="H232" s="3" t="s">
        <v>1146</v>
      </c>
      <c r="I232" s="3" t="s">
        <v>1147</v>
      </c>
      <c r="J232" s="5" t="s">
        <v>48</v>
      </c>
      <c r="K232" s="7">
        <v>0.98399999999999999</v>
      </c>
      <c r="L232" s="11" t="s">
        <v>7</v>
      </c>
      <c r="M232" s="11" t="s">
        <v>264</v>
      </c>
      <c r="N232" s="5" t="s">
        <v>257</v>
      </c>
      <c r="O232" s="5" t="s">
        <v>1148</v>
      </c>
      <c r="P232" s="5" t="s">
        <v>1148</v>
      </c>
      <c r="Q232" s="3" t="s">
        <v>1149</v>
      </c>
      <c r="R232" s="3" t="s">
        <v>267</v>
      </c>
    </row>
    <row r="233" spans="1:18" ht="46" customHeight="1">
      <c r="A233" s="9">
        <v>228</v>
      </c>
      <c r="B233" s="5" t="s">
        <v>1150</v>
      </c>
      <c r="C233" s="5" t="s">
        <v>23</v>
      </c>
      <c r="D233" s="5" t="s">
        <v>252</v>
      </c>
      <c r="E233" s="5" t="s">
        <v>18</v>
      </c>
      <c r="F233" s="5" t="s">
        <v>274</v>
      </c>
      <c r="G233" s="5" t="s">
        <v>1151</v>
      </c>
      <c r="H233" s="3" t="s">
        <v>1152</v>
      </c>
      <c r="I233" s="3" t="s">
        <v>1153</v>
      </c>
      <c r="J233" s="5" t="s">
        <v>48</v>
      </c>
      <c r="K233" s="7">
        <v>2.9999999999999997E-4</v>
      </c>
      <c r="L233" s="11" t="s">
        <v>7</v>
      </c>
      <c r="M233" s="11" t="s">
        <v>256</v>
      </c>
      <c r="N233" s="5" t="s">
        <v>257</v>
      </c>
      <c r="O233" s="5"/>
      <c r="P233" s="5"/>
      <c r="Q233" s="3" t="s">
        <v>1154</v>
      </c>
      <c r="R233" s="3" t="s">
        <v>260</v>
      </c>
    </row>
    <row r="234" spans="1:18" ht="46" customHeight="1">
      <c r="A234" s="9">
        <v>229</v>
      </c>
      <c r="B234" s="5" t="s">
        <v>1155</v>
      </c>
      <c r="C234" s="5" t="s">
        <v>23</v>
      </c>
      <c r="D234" s="5" t="s">
        <v>252</v>
      </c>
      <c r="E234" s="5" t="s">
        <v>14</v>
      </c>
      <c r="F234" s="5" t="s">
        <v>253</v>
      </c>
      <c r="G234" s="5" t="s">
        <v>1141</v>
      </c>
      <c r="H234" s="3" t="s">
        <v>1156</v>
      </c>
      <c r="I234" s="3" t="s">
        <v>1157</v>
      </c>
      <c r="J234" s="5" t="s">
        <v>48</v>
      </c>
      <c r="K234" s="7">
        <v>1.9099999999999999E-2</v>
      </c>
      <c r="L234" s="11" t="s">
        <v>7</v>
      </c>
      <c r="M234" s="11" t="s">
        <v>256</v>
      </c>
      <c r="N234" s="5" t="s">
        <v>257</v>
      </c>
      <c r="O234" s="5" t="s">
        <v>1158</v>
      </c>
      <c r="P234" s="5" t="s">
        <v>1158</v>
      </c>
      <c r="Q234" s="3" t="s">
        <v>1159</v>
      </c>
      <c r="R234" s="3" t="s">
        <v>260</v>
      </c>
    </row>
    <row r="235" spans="1:18" ht="46" customHeight="1">
      <c r="A235" s="9">
        <v>230</v>
      </c>
      <c r="B235" s="5" t="s">
        <v>212</v>
      </c>
      <c r="C235" s="5" t="s">
        <v>25</v>
      </c>
      <c r="D235" s="5" t="s">
        <v>637</v>
      </c>
      <c r="E235" s="5" t="s">
        <v>14</v>
      </c>
      <c r="F235" s="5" t="s">
        <v>261</v>
      </c>
      <c r="G235" s="5" t="s">
        <v>1160</v>
      </c>
      <c r="H235" s="3" t="s">
        <v>1161</v>
      </c>
      <c r="I235" s="3" t="s">
        <v>1162</v>
      </c>
      <c r="J235" s="5" t="s">
        <v>48</v>
      </c>
      <c r="K235" s="7">
        <v>1.5613999999999999</v>
      </c>
      <c r="L235" s="11" t="s">
        <v>7</v>
      </c>
      <c r="M235" s="11" t="s">
        <v>264</v>
      </c>
      <c r="N235" s="5" t="s">
        <v>257</v>
      </c>
      <c r="O235" s="5" t="s">
        <v>1163</v>
      </c>
      <c r="P235" s="5" t="s">
        <v>1163</v>
      </c>
      <c r="Q235" s="3" t="s">
        <v>1164</v>
      </c>
      <c r="R235" s="3" t="s">
        <v>267</v>
      </c>
    </row>
    <row r="236" spans="1:18" ht="46" customHeight="1">
      <c r="A236" s="9">
        <v>231</v>
      </c>
      <c r="B236" s="5" t="s">
        <v>1165</v>
      </c>
      <c r="C236" s="5" t="s">
        <v>23</v>
      </c>
      <c r="D236" s="5" t="s">
        <v>393</v>
      </c>
      <c r="E236" s="5" t="s">
        <v>15</v>
      </c>
      <c r="F236" s="5" t="s">
        <v>261</v>
      </c>
      <c r="G236" s="5" t="s">
        <v>1160</v>
      </c>
      <c r="H236" s="3" t="s">
        <v>1166</v>
      </c>
      <c r="I236" s="3" t="s">
        <v>1167</v>
      </c>
      <c r="J236" s="5" t="s">
        <v>48</v>
      </c>
      <c r="K236" s="7">
        <v>1.9197</v>
      </c>
      <c r="L236" s="11" t="s">
        <v>7</v>
      </c>
      <c r="M236" s="11" t="s">
        <v>264</v>
      </c>
      <c r="N236" s="5" t="s">
        <v>257</v>
      </c>
      <c r="O236" s="5" t="s">
        <v>1168</v>
      </c>
      <c r="P236" s="5" t="s">
        <v>1168</v>
      </c>
      <c r="Q236" s="3" t="s">
        <v>1169</v>
      </c>
      <c r="R236" s="3" t="s">
        <v>267</v>
      </c>
    </row>
    <row r="237" spans="1:18" ht="46" customHeight="1">
      <c r="A237" s="9">
        <v>232</v>
      </c>
      <c r="B237" s="5" t="s">
        <v>1170</v>
      </c>
      <c r="C237" s="5" t="s">
        <v>25</v>
      </c>
      <c r="D237" s="5" t="s">
        <v>637</v>
      </c>
      <c r="E237" s="5" t="s">
        <v>18</v>
      </c>
      <c r="F237" s="5" t="s">
        <v>274</v>
      </c>
      <c r="G237" s="5" t="s">
        <v>1151</v>
      </c>
      <c r="H237" s="3" t="s">
        <v>1171</v>
      </c>
      <c r="I237" s="3" t="s">
        <v>1172</v>
      </c>
      <c r="J237" s="5" t="s">
        <v>48</v>
      </c>
      <c r="K237" s="7">
        <v>2.0000000000000001E-4</v>
      </c>
      <c r="L237" s="11" t="s">
        <v>7</v>
      </c>
      <c r="M237" s="11" t="s">
        <v>256</v>
      </c>
      <c r="N237" s="5" t="s">
        <v>257</v>
      </c>
      <c r="O237" s="5"/>
      <c r="P237" s="5"/>
      <c r="Q237" s="3" t="s">
        <v>1154</v>
      </c>
      <c r="R237" s="3" t="s">
        <v>260</v>
      </c>
    </row>
    <row r="238" spans="1:18" ht="46" customHeight="1">
      <c r="A238" s="9">
        <v>233</v>
      </c>
      <c r="B238" s="5" t="s">
        <v>240</v>
      </c>
      <c r="C238" s="5" t="s">
        <v>25</v>
      </c>
      <c r="D238" s="5" t="s">
        <v>695</v>
      </c>
      <c r="E238" s="5" t="s">
        <v>16</v>
      </c>
      <c r="F238" s="5" t="s">
        <v>274</v>
      </c>
      <c r="G238" s="5" t="s">
        <v>1173</v>
      </c>
      <c r="H238" s="3" t="s">
        <v>1174</v>
      </c>
      <c r="I238" s="3" t="s">
        <v>1175</v>
      </c>
      <c r="J238" s="5" t="s">
        <v>48</v>
      </c>
      <c r="K238" s="7">
        <v>1.2747999999999999</v>
      </c>
      <c r="L238" s="11" t="s">
        <v>7</v>
      </c>
      <c r="M238" s="11" t="s">
        <v>256</v>
      </c>
      <c r="N238" s="5" t="s">
        <v>257</v>
      </c>
      <c r="O238" s="5" t="s">
        <v>325</v>
      </c>
      <c r="P238" s="5" t="s">
        <v>325</v>
      </c>
      <c r="Q238" s="3" t="s">
        <v>346</v>
      </c>
      <c r="R238" s="3" t="s">
        <v>260</v>
      </c>
    </row>
  </sheetData>
  <mergeCells count="2">
    <mergeCell ref="A1:R2"/>
    <mergeCell ref="A3:R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showGridLines="0" workbookViewId="0"/>
  </sheetViews>
  <sheetFormatPr defaultRowHeight="14"/>
  <cols>
    <col min="1" max="1" width="43" customWidth="1"/>
    <col min="2" max="2" width="32" customWidth="1"/>
    <col min="3" max="3" width="72" customWidth="1"/>
    <col min="4" max="4" width="12" customWidth="1"/>
  </cols>
  <sheetData>
    <row r="1" spans="1:4" ht="27" customHeight="1">
      <c r="A1" s="37" t="s">
        <v>1176</v>
      </c>
      <c r="B1" s="38"/>
      <c r="C1" s="38"/>
      <c r="D1" s="38"/>
    </row>
    <row r="2" spans="1:4" ht="27" customHeight="1">
      <c r="A2" s="38"/>
      <c r="B2" s="38"/>
      <c r="C2" s="38"/>
      <c r="D2" s="38"/>
    </row>
    <row r="3" spans="1:4" ht="30" customHeight="1">
      <c r="A3" s="39" t="s">
        <v>1177</v>
      </c>
      <c r="B3" s="39"/>
      <c r="C3" s="39"/>
      <c r="D3" s="39"/>
    </row>
    <row r="4" spans="1:4" ht="14.5">
      <c r="A4" s="36"/>
      <c r="B4" s="36"/>
      <c r="C4" s="36"/>
      <c r="D4" s="36"/>
    </row>
    <row r="5" spans="1:4" ht="34" customHeight="1">
      <c r="A5" s="1" t="s">
        <v>1178</v>
      </c>
      <c r="B5" s="1" t="s">
        <v>78</v>
      </c>
      <c r="C5" s="1" t="s">
        <v>1179</v>
      </c>
      <c r="D5" s="1" t="s">
        <v>1180</v>
      </c>
    </row>
    <row r="6" spans="1:4" ht="76" customHeight="1">
      <c r="A6" s="2" t="s">
        <v>1181</v>
      </c>
      <c r="B6" s="2" t="s">
        <v>1182</v>
      </c>
      <c r="C6" s="2" t="s">
        <v>1183</v>
      </c>
      <c r="D6" s="31" t="s">
        <v>1184</v>
      </c>
    </row>
    <row r="7" spans="1:4" ht="76" customHeight="1">
      <c r="A7" s="3" t="s">
        <v>1185</v>
      </c>
      <c r="B7" s="3" t="s">
        <v>1186</v>
      </c>
      <c r="C7" s="3" t="s">
        <v>1187</v>
      </c>
      <c r="D7" s="32" t="s">
        <v>1184</v>
      </c>
    </row>
    <row r="8" spans="1:4" ht="76" customHeight="1">
      <c r="A8" s="3" t="s">
        <v>1188</v>
      </c>
      <c r="B8" s="3" t="s">
        <v>1189</v>
      </c>
      <c r="C8" s="3" t="s">
        <v>1190</v>
      </c>
      <c r="D8" s="32" t="s">
        <v>1184</v>
      </c>
    </row>
    <row r="9" spans="1:4" ht="76" customHeight="1">
      <c r="A9" s="3" t="s">
        <v>1191</v>
      </c>
      <c r="B9" s="3" t="s">
        <v>1192</v>
      </c>
      <c r="C9" s="3" t="s">
        <v>1193</v>
      </c>
      <c r="D9" s="32" t="s">
        <v>1184</v>
      </c>
    </row>
    <row r="10" spans="1:4" ht="76" customHeight="1">
      <c r="A10" s="3" t="s">
        <v>1194</v>
      </c>
      <c r="B10" s="3" t="s">
        <v>1195</v>
      </c>
      <c r="C10" s="3" t="s">
        <v>1196</v>
      </c>
      <c r="D10" s="32" t="s">
        <v>1184</v>
      </c>
    </row>
    <row r="11" spans="1:4" ht="76" customHeight="1">
      <c r="A11" s="3" t="s">
        <v>1197</v>
      </c>
      <c r="B11" s="3" t="s">
        <v>1198</v>
      </c>
      <c r="C11" s="3" t="s">
        <v>1199</v>
      </c>
      <c r="D11" s="32" t="s">
        <v>1184</v>
      </c>
    </row>
    <row r="12" spans="1:4" ht="76" customHeight="1">
      <c r="A12" s="3" t="s">
        <v>1200</v>
      </c>
      <c r="B12" s="3" t="s">
        <v>1201</v>
      </c>
      <c r="C12" s="3" t="s">
        <v>1202</v>
      </c>
      <c r="D12" s="32" t="s">
        <v>1184</v>
      </c>
    </row>
    <row r="13" spans="1:4" ht="14.5">
      <c r="A13" s="36"/>
      <c r="B13" s="36"/>
      <c r="C13" s="36"/>
      <c r="D13" s="36"/>
    </row>
    <row r="14" spans="1:4" ht="14.5">
      <c r="A14" s="36"/>
      <c r="B14" s="36"/>
      <c r="C14" s="36"/>
      <c r="D14" s="36"/>
    </row>
    <row r="15" spans="1:4">
      <c r="A15" s="144" t="s">
        <v>1203</v>
      </c>
      <c r="B15" s="144"/>
      <c r="C15" s="144"/>
      <c r="D15" s="144"/>
    </row>
    <row r="16" spans="1:4">
      <c r="A16" s="144"/>
      <c r="B16" s="144"/>
      <c r="C16" s="144"/>
      <c r="D16" s="144"/>
    </row>
    <row r="17" spans="1:4">
      <c r="A17" s="144"/>
      <c r="B17" s="144"/>
      <c r="C17" s="144"/>
      <c r="D17" s="144"/>
    </row>
  </sheetData>
  <mergeCells count="3">
    <mergeCell ref="A1:D2"/>
    <mergeCell ref="A3:D3"/>
    <mergeCell ref="A15:D17"/>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0"/>
  <sheetViews>
    <sheetView showGridLines="0" workbookViewId="0"/>
  </sheetViews>
  <sheetFormatPr defaultRowHeight="14"/>
  <cols>
    <col min="1" max="1" width="18" customWidth="1"/>
    <col min="2" max="2" width="25" customWidth="1"/>
    <col min="3" max="3" width="15" customWidth="1"/>
    <col min="4" max="4" width="72" customWidth="1"/>
    <col min="5" max="5" width="48" customWidth="1"/>
    <col min="6" max="6" width="68" customWidth="1"/>
  </cols>
  <sheetData>
    <row r="1" spans="1:6" ht="27" customHeight="1">
      <c r="A1" s="37" t="s">
        <v>1204</v>
      </c>
      <c r="B1" s="38"/>
      <c r="C1" s="38"/>
      <c r="D1" s="38"/>
      <c r="E1" s="38"/>
      <c r="F1" s="38"/>
    </row>
    <row r="2" spans="1:6" ht="27" customHeight="1">
      <c r="A2" s="38"/>
      <c r="B2" s="38"/>
      <c r="C2" s="38"/>
      <c r="D2" s="38"/>
      <c r="E2" s="38"/>
      <c r="F2" s="38"/>
    </row>
    <row r="3" spans="1:6" ht="30" customHeight="1">
      <c r="A3" s="39" t="s">
        <v>1205</v>
      </c>
      <c r="B3" s="39"/>
      <c r="C3" s="39"/>
      <c r="D3" s="39"/>
      <c r="E3" s="39"/>
      <c r="F3" s="39"/>
    </row>
    <row r="4" spans="1:6" ht="14.5">
      <c r="A4" s="36"/>
      <c r="B4" s="36"/>
      <c r="C4" s="36"/>
      <c r="D4" s="36"/>
      <c r="E4" s="36"/>
      <c r="F4" s="36"/>
    </row>
    <row r="5" spans="1:6" ht="34" customHeight="1">
      <c r="A5" s="1" t="s">
        <v>1206</v>
      </c>
      <c r="B5" s="1" t="s">
        <v>1207</v>
      </c>
      <c r="C5" s="1" t="s">
        <v>1208</v>
      </c>
      <c r="D5" s="1" t="s">
        <v>1209</v>
      </c>
      <c r="E5" s="1" t="s">
        <v>1210</v>
      </c>
      <c r="F5" s="1" t="s">
        <v>1211</v>
      </c>
    </row>
    <row r="6" spans="1:6" ht="38" customHeight="1">
      <c r="A6" s="2" t="s">
        <v>1212</v>
      </c>
      <c r="B6" s="2" t="s">
        <v>1213</v>
      </c>
      <c r="C6" s="33">
        <v>604294</v>
      </c>
      <c r="D6" s="2" t="s">
        <v>1214</v>
      </c>
      <c r="E6" s="2" t="s">
        <v>1215</v>
      </c>
      <c r="F6" s="2" t="s">
        <v>1216</v>
      </c>
    </row>
    <row r="7" spans="1:6" ht="38" customHeight="1">
      <c r="A7" s="3" t="s">
        <v>1212</v>
      </c>
      <c r="B7" s="3" t="s">
        <v>1217</v>
      </c>
      <c r="C7" s="34">
        <v>603430</v>
      </c>
      <c r="D7" s="3" t="s">
        <v>1218</v>
      </c>
      <c r="E7" s="3" t="s">
        <v>1219</v>
      </c>
      <c r="F7" s="3" t="s">
        <v>1220</v>
      </c>
    </row>
    <row r="8" spans="1:6" ht="38" customHeight="1">
      <c r="A8" s="3" t="s">
        <v>1212</v>
      </c>
      <c r="B8" s="3" t="s">
        <v>1221</v>
      </c>
      <c r="C8" s="34">
        <v>436610</v>
      </c>
      <c r="D8" s="3" t="s">
        <v>1222</v>
      </c>
      <c r="E8" s="3" t="s">
        <v>1223</v>
      </c>
      <c r="F8" s="3" t="s">
        <v>1224</v>
      </c>
    </row>
    <row r="9" spans="1:6" ht="38" customHeight="1">
      <c r="A9" s="3" t="s">
        <v>1212</v>
      </c>
      <c r="B9" s="3" t="s">
        <v>1225</v>
      </c>
      <c r="C9" s="34">
        <v>490707</v>
      </c>
      <c r="D9" s="3" t="s">
        <v>1226</v>
      </c>
      <c r="E9" s="3" t="s">
        <v>1227</v>
      </c>
      <c r="F9" s="3" t="s">
        <v>1228</v>
      </c>
    </row>
    <row r="10" spans="1:6" ht="38" customHeight="1">
      <c r="A10" s="3" t="s">
        <v>1212</v>
      </c>
      <c r="B10" s="3" t="s">
        <v>1229</v>
      </c>
      <c r="C10" s="34">
        <v>17082700</v>
      </c>
      <c r="D10" s="3" t="s">
        <v>1230</v>
      </c>
      <c r="E10" s="3" t="s">
        <v>1231</v>
      </c>
      <c r="F10" s="3" t="s">
        <v>1232</v>
      </c>
    </row>
    <row r="11" spans="1:6" ht="38" customHeight="1">
      <c r="A11" s="3" t="s">
        <v>1212</v>
      </c>
      <c r="B11" s="3" t="s">
        <v>1233</v>
      </c>
      <c r="C11" s="34">
        <v>10314717</v>
      </c>
      <c r="D11" s="3" t="s">
        <v>1234</v>
      </c>
      <c r="E11" s="3" t="s">
        <v>1235</v>
      </c>
      <c r="F11" s="3" t="s">
        <v>1236</v>
      </c>
    </row>
    <row r="12" spans="1:6" ht="38" customHeight="1">
      <c r="A12" s="3" t="s">
        <v>1212</v>
      </c>
      <c r="B12" s="3" t="s">
        <v>1237</v>
      </c>
      <c r="C12" s="34">
        <v>21046742</v>
      </c>
      <c r="D12" s="3" t="s">
        <v>1238</v>
      </c>
      <c r="E12" s="3" t="s">
        <v>1239</v>
      </c>
      <c r="F12" s="3" t="s">
        <v>1240</v>
      </c>
    </row>
    <row r="13" spans="1:6" ht="38" customHeight="1">
      <c r="A13" s="3" t="s">
        <v>1212</v>
      </c>
      <c r="B13" s="3" t="s">
        <v>1241</v>
      </c>
      <c r="C13" s="34">
        <v>231392</v>
      </c>
      <c r="D13" s="3" t="s">
        <v>1242</v>
      </c>
      <c r="E13" s="3" t="s">
        <v>1243</v>
      </c>
      <c r="F13" s="3" t="s">
        <v>1244</v>
      </c>
    </row>
    <row r="14" spans="1:6" ht="38" customHeight="1">
      <c r="A14" s="3" t="s">
        <v>1212</v>
      </c>
      <c r="B14" s="3" t="s">
        <v>1245</v>
      </c>
      <c r="C14" s="34">
        <v>3878198</v>
      </c>
      <c r="D14" s="3" t="s">
        <v>1246</v>
      </c>
      <c r="E14" s="3" t="s">
        <v>1247</v>
      </c>
      <c r="F14" s="3" t="s">
        <v>1248</v>
      </c>
    </row>
    <row r="15" spans="1:6" ht="38" customHeight="1">
      <c r="A15" s="3" t="s">
        <v>1212</v>
      </c>
      <c r="B15" s="3" t="s">
        <v>1249</v>
      </c>
      <c r="C15" s="34">
        <v>272507</v>
      </c>
      <c r="D15" s="3" t="s">
        <v>1250</v>
      </c>
      <c r="E15" s="3" t="s">
        <v>1251</v>
      </c>
      <c r="F15" s="3" t="s">
        <v>1252</v>
      </c>
    </row>
    <row r="16" spans="1:6" ht="38" customHeight="1">
      <c r="A16" s="3" t="s">
        <v>1212</v>
      </c>
      <c r="B16" s="3" t="s">
        <v>1253</v>
      </c>
      <c r="C16" s="34">
        <v>623652</v>
      </c>
      <c r="D16" s="3" t="s">
        <v>1254</v>
      </c>
      <c r="E16" s="3" t="s">
        <v>1255</v>
      </c>
      <c r="F16" s="3" t="s">
        <v>1256</v>
      </c>
    </row>
    <row r="17" spans="1:6" ht="38" customHeight="1">
      <c r="A17" s="3" t="s">
        <v>1212</v>
      </c>
      <c r="B17" s="3" t="s">
        <v>1257</v>
      </c>
      <c r="C17" s="34">
        <v>26905</v>
      </c>
      <c r="D17" s="3" t="s">
        <v>1258</v>
      </c>
      <c r="E17" s="3" t="s">
        <v>1259</v>
      </c>
      <c r="F17" s="3" t="s">
        <v>1260</v>
      </c>
    </row>
    <row r="18" spans="1:6" ht="38" customHeight="1">
      <c r="A18" s="3" t="s">
        <v>1212</v>
      </c>
      <c r="B18" s="3" t="s">
        <v>1261</v>
      </c>
      <c r="C18" s="34">
        <v>238109</v>
      </c>
      <c r="D18" s="3" t="s">
        <v>1262</v>
      </c>
      <c r="E18" s="3" t="s">
        <v>1263</v>
      </c>
      <c r="F18" s="3" t="s">
        <v>1264</v>
      </c>
    </row>
    <row r="19" spans="1:6" ht="38" customHeight="1">
      <c r="A19" s="3" t="s">
        <v>1212</v>
      </c>
      <c r="B19" s="3" t="s">
        <v>1265</v>
      </c>
      <c r="C19" s="34">
        <v>216393</v>
      </c>
      <c r="D19" s="3" t="s">
        <v>1266</v>
      </c>
      <c r="E19" s="3" t="s">
        <v>1267</v>
      </c>
      <c r="F19" s="3" t="s">
        <v>1268</v>
      </c>
    </row>
    <row r="20" spans="1:6" ht="38" customHeight="1">
      <c r="A20" s="3" t="s">
        <v>1212</v>
      </c>
      <c r="B20" s="3" t="s">
        <v>1269</v>
      </c>
      <c r="C20" s="34">
        <v>2827120</v>
      </c>
      <c r="D20" s="3" t="s">
        <v>1270</v>
      </c>
      <c r="E20" s="3" t="s">
        <v>1271</v>
      </c>
      <c r="F20" s="3" t="s">
        <v>1272</v>
      </c>
    </row>
    <row r="21" spans="1:6" ht="38" customHeight="1">
      <c r="A21" s="3" t="s">
        <v>1212</v>
      </c>
      <c r="B21" s="3" t="s">
        <v>1273</v>
      </c>
      <c r="C21" s="34">
        <v>422287</v>
      </c>
      <c r="D21" s="3" t="s">
        <v>1274</v>
      </c>
      <c r="E21" s="3" t="s">
        <v>1275</v>
      </c>
      <c r="F21" s="3" t="s">
        <v>1276</v>
      </c>
    </row>
    <row r="22" spans="1:6" ht="38" customHeight="1">
      <c r="A22" s="3" t="s">
        <v>1212</v>
      </c>
      <c r="B22" s="3" t="s">
        <v>1277</v>
      </c>
      <c r="C22" s="34">
        <v>310018</v>
      </c>
      <c r="D22" s="3" t="s">
        <v>1278</v>
      </c>
      <c r="E22" s="3" t="s">
        <v>1279</v>
      </c>
      <c r="F22" s="3" t="s">
        <v>1280</v>
      </c>
    </row>
    <row r="23" spans="1:6" ht="38" customHeight="1">
      <c r="A23" s="3" t="s">
        <v>1212</v>
      </c>
      <c r="B23" s="3" t="s">
        <v>1281</v>
      </c>
      <c r="C23" s="34">
        <v>14</v>
      </c>
      <c r="D23" s="3" t="s">
        <v>1282</v>
      </c>
      <c r="E23" s="3" t="s">
        <v>1283</v>
      </c>
      <c r="F23" s="3" t="s">
        <v>1284</v>
      </c>
    </row>
    <row r="24" spans="1:6" ht="38" customHeight="1">
      <c r="A24" s="3" t="s">
        <v>1212</v>
      </c>
      <c r="B24" s="3" t="s">
        <v>1285</v>
      </c>
      <c r="C24" s="34">
        <v>46</v>
      </c>
      <c r="D24" s="3" t="s">
        <v>1282</v>
      </c>
      <c r="E24" s="3" t="s">
        <v>1286</v>
      </c>
      <c r="F24" s="3" t="s">
        <v>1287</v>
      </c>
    </row>
    <row r="25" spans="1:6" ht="38" customHeight="1">
      <c r="A25" s="3" t="s">
        <v>1288</v>
      </c>
      <c r="B25" s="3" t="s">
        <v>1289</v>
      </c>
      <c r="C25" s="34">
        <v>3927</v>
      </c>
      <c r="D25" s="3" t="s">
        <v>1290</v>
      </c>
      <c r="E25" s="3" t="s">
        <v>1291</v>
      </c>
      <c r="F25" s="3" t="s">
        <v>1292</v>
      </c>
    </row>
    <row r="26" spans="1:6" ht="38" customHeight="1">
      <c r="A26" s="3" t="s">
        <v>1288</v>
      </c>
      <c r="B26" s="3" t="s">
        <v>1293</v>
      </c>
      <c r="C26" s="34">
        <v>1836002</v>
      </c>
      <c r="D26" s="3" t="s">
        <v>1294</v>
      </c>
      <c r="E26" s="3" t="s">
        <v>1295</v>
      </c>
      <c r="F26" s="3" t="s">
        <v>1296</v>
      </c>
    </row>
    <row r="27" spans="1:6" ht="38" customHeight="1">
      <c r="A27" s="3" t="s">
        <v>1288</v>
      </c>
      <c r="B27" s="3" t="s">
        <v>1297</v>
      </c>
      <c r="C27" s="34">
        <v>111729</v>
      </c>
      <c r="D27" s="3" t="s">
        <v>1298</v>
      </c>
      <c r="E27" s="3" t="s">
        <v>1299</v>
      </c>
      <c r="F27" s="3" t="s">
        <v>1300</v>
      </c>
    </row>
    <row r="28" spans="1:6" ht="38" customHeight="1">
      <c r="A28" s="3" t="s">
        <v>1288</v>
      </c>
      <c r="B28" s="3" t="s">
        <v>1301</v>
      </c>
      <c r="C28" s="34">
        <v>281318</v>
      </c>
      <c r="D28" s="3" t="s">
        <v>1302</v>
      </c>
      <c r="E28" s="3" t="s">
        <v>1303</v>
      </c>
      <c r="F28" s="3" t="s">
        <v>1304</v>
      </c>
    </row>
    <row r="29" spans="1:6" ht="38" customHeight="1">
      <c r="A29" s="3" t="s">
        <v>1288</v>
      </c>
      <c r="B29" s="3" t="s">
        <v>1305</v>
      </c>
      <c r="C29" s="34">
        <v>45752</v>
      </c>
      <c r="D29" s="3" t="s">
        <v>1306</v>
      </c>
      <c r="E29" s="3" t="s">
        <v>1307</v>
      </c>
      <c r="F29" s="3" t="s">
        <v>1308</v>
      </c>
    </row>
    <row r="30" spans="1:6" ht="38" customHeight="1">
      <c r="A30" s="3" t="s">
        <v>1288</v>
      </c>
      <c r="B30" s="3" t="s">
        <v>1309</v>
      </c>
      <c r="C30" s="34">
        <v>1030</v>
      </c>
      <c r="D30" s="3" t="s">
        <v>1290</v>
      </c>
      <c r="E30" s="3" t="s">
        <v>1310</v>
      </c>
      <c r="F30" s="3" t="s">
        <v>1311</v>
      </c>
    </row>
    <row r="31" spans="1:6" ht="38" customHeight="1">
      <c r="A31" s="3" t="s">
        <v>1288</v>
      </c>
      <c r="B31" s="3" t="s">
        <v>1312</v>
      </c>
      <c r="C31" s="34">
        <v>40581</v>
      </c>
      <c r="D31" s="3" t="s">
        <v>1313</v>
      </c>
      <c r="E31" s="3" t="s">
        <v>1314</v>
      </c>
      <c r="F31" s="3" t="s">
        <v>1315</v>
      </c>
    </row>
    <row r="32" spans="1:6" ht="38" customHeight="1">
      <c r="A32" s="3" t="s">
        <v>1288</v>
      </c>
      <c r="B32" s="3" t="s">
        <v>1316</v>
      </c>
      <c r="C32" s="34">
        <v>9</v>
      </c>
      <c r="D32" s="3" t="s">
        <v>1282</v>
      </c>
      <c r="E32" s="3" t="s">
        <v>1317</v>
      </c>
      <c r="F32" s="3" t="s">
        <v>1318</v>
      </c>
    </row>
    <row r="33" spans="1:6" ht="38" customHeight="1">
      <c r="A33" s="3" t="s">
        <v>1288</v>
      </c>
      <c r="B33" s="3" t="s">
        <v>1319</v>
      </c>
      <c r="C33" s="34">
        <v>163</v>
      </c>
      <c r="D33" s="3" t="s">
        <v>1320</v>
      </c>
      <c r="E33" s="3" t="s">
        <v>1321</v>
      </c>
      <c r="F33" s="3" t="s">
        <v>1322</v>
      </c>
    </row>
    <row r="34" spans="1:6" ht="38" customHeight="1">
      <c r="A34" s="3" t="s">
        <v>1288</v>
      </c>
      <c r="B34" s="3" t="s">
        <v>1323</v>
      </c>
      <c r="C34" s="34">
        <v>7154</v>
      </c>
      <c r="D34" s="3" t="s">
        <v>1324</v>
      </c>
      <c r="E34" s="3" t="s">
        <v>1325</v>
      </c>
      <c r="F34" s="3" t="s">
        <v>1326</v>
      </c>
    </row>
    <row r="35" spans="1:6" ht="38" customHeight="1">
      <c r="A35" s="3" t="s">
        <v>1288</v>
      </c>
      <c r="B35" s="3" t="s">
        <v>1327</v>
      </c>
      <c r="C35" s="34">
        <v>120</v>
      </c>
      <c r="D35" s="3" t="s">
        <v>1328</v>
      </c>
      <c r="E35" s="3" t="s">
        <v>1329</v>
      </c>
      <c r="F35" s="3" t="s">
        <v>1330</v>
      </c>
    </row>
    <row r="36" spans="1:6" ht="38" customHeight="1">
      <c r="A36" s="3" t="s">
        <v>1288</v>
      </c>
      <c r="B36" s="3" t="s">
        <v>1331</v>
      </c>
      <c r="C36" s="34">
        <v>1884</v>
      </c>
      <c r="D36" s="3" t="s">
        <v>1332</v>
      </c>
      <c r="E36" s="3" t="s">
        <v>1333</v>
      </c>
      <c r="F36" s="3" t="s">
        <v>1334</v>
      </c>
    </row>
    <row r="37" spans="1:6" ht="38" customHeight="1">
      <c r="A37" s="3" t="s">
        <v>1288</v>
      </c>
      <c r="B37" s="3" t="s">
        <v>1335</v>
      </c>
      <c r="C37" s="34">
        <v>7516543</v>
      </c>
      <c r="D37" s="3" t="s">
        <v>1336</v>
      </c>
      <c r="E37" s="3" t="s">
        <v>1337</v>
      </c>
      <c r="F37" s="3" t="s">
        <v>1338</v>
      </c>
    </row>
    <row r="38" spans="1:6" ht="38" customHeight="1">
      <c r="A38" s="3" t="s">
        <v>1288</v>
      </c>
      <c r="B38" s="3" t="s">
        <v>1339</v>
      </c>
      <c r="C38" s="34">
        <v>7516543</v>
      </c>
      <c r="D38" s="3" t="s">
        <v>1340</v>
      </c>
      <c r="E38" s="3" t="s">
        <v>1341</v>
      </c>
      <c r="F38" s="3" t="s">
        <v>1342</v>
      </c>
    </row>
    <row r="39" spans="1:6" ht="38" customHeight="1">
      <c r="A39" s="3" t="s">
        <v>1288</v>
      </c>
      <c r="B39" s="3" t="s">
        <v>1343</v>
      </c>
      <c r="C39" s="34">
        <v>193</v>
      </c>
      <c r="D39" s="3" t="s">
        <v>1344</v>
      </c>
      <c r="E39" s="3" t="s">
        <v>1345</v>
      </c>
      <c r="F39" s="3" t="s">
        <v>1346</v>
      </c>
    </row>
    <row r="40" spans="1:6" ht="38" customHeight="1">
      <c r="A40" s="3" t="s">
        <v>1288</v>
      </c>
      <c r="B40" s="3" t="s">
        <v>1347</v>
      </c>
      <c r="C40" s="34">
        <v>49084</v>
      </c>
      <c r="D40" s="3" t="s">
        <v>1348</v>
      </c>
      <c r="E40" s="3" t="s">
        <v>1349</v>
      </c>
      <c r="F40" s="3" t="s">
        <v>1350</v>
      </c>
    </row>
  </sheetData>
  <mergeCells count="2">
    <mergeCell ref="A1:F2"/>
    <mergeCell ref="A3:F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0"/>
  <sheetViews>
    <sheetView showGridLines="0" workbookViewId="0"/>
  </sheetViews>
  <sheetFormatPr defaultRowHeight="14"/>
  <cols>
    <col min="1" max="1" width="38" customWidth="1"/>
    <col min="2" max="2" width="42" customWidth="1"/>
    <col min="3" max="3" width="90" customWidth="1"/>
    <col min="4" max="6" width="16" customWidth="1"/>
  </cols>
  <sheetData>
    <row r="1" spans="1:6" ht="27" customHeight="1">
      <c r="A1" s="37" t="s">
        <v>1351</v>
      </c>
      <c r="B1" s="38"/>
      <c r="C1" s="38"/>
      <c r="D1" s="38"/>
      <c r="E1" s="38"/>
      <c r="F1" s="38"/>
    </row>
    <row r="2" spans="1:6" ht="27" customHeight="1">
      <c r="A2" s="38"/>
      <c r="B2" s="38"/>
      <c r="C2" s="38"/>
      <c r="D2" s="38"/>
      <c r="E2" s="38"/>
      <c r="F2" s="38"/>
    </row>
    <row r="3" spans="1:6" ht="30" customHeight="1">
      <c r="A3" s="39" t="s">
        <v>1352</v>
      </c>
      <c r="B3" s="39"/>
      <c r="C3" s="39"/>
      <c r="D3" s="39"/>
      <c r="E3" s="39"/>
      <c r="F3" s="39"/>
    </row>
    <row r="4" spans="1:6" ht="14.5">
      <c r="A4" s="36"/>
      <c r="B4" s="36"/>
      <c r="C4" s="36"/>
      <c r="D4" s="36"/>
      <c r="E4" s="36"/>
      <c r="F4" s="36"/>
    </row>
    <row r="5" spans="1:6" ht="14.5">
      <c r="A5" s="135" t="s">
        <v>1353</v>
      </c>
      <c r="B5" s="135"/>
      <c r="C5" s="135"/>
      <c r="D5" s="135"/>
      <c r="E5" s="135"/>
      <c r="F5" s="135"/>
    </row>
    <row r="6" spans="1:6" ht="34" customHeight="1">
      <c r="A6" s="1" t="s">
        <v>1354</v>
      </c>
      <c r="B6" s="1" t="s">
        <v>1355</v>
      </c>
      <c r="C6" s="1" t="s">
        <v>1356</v>
      </c>
      <c r="D6" s="36"/>
      <c r="E6" s="36"/>
      <c r="F6" s="36"/>
    </row>
    <row r="7" spans="1:6" ht="58" customHeight="1">
      <c r="A7" s="2" t="s">
        <v>1357</v>
      </c>
      <c r="B7" s="2" t="s">
        <v>38</v>
      </c>
      <c r="C7" s="2" t="s">
        <v>1358</v>
      </c>
      <c r="D7" s="36"/>
      <c r="E7" s="36"/>
      <c r="F7" s="36"/>
    </row>
    <row r="8" spans="1:6" ht="58" customHeight="1">
      <c r="A8" s="3" t="s">
        <v>1359</v>
      </c>
      <c r="B8" s="3" t="s">
        <v>1360</v>
      </c>
      <c r="C8" s="3" t="s">
        <v>1361</v>
      </c>
      <c r="D8" s="36"/>
      <c r="E8" s="36"/>
      <c r="F8" s="36"/>
    </row>
    <row r="9" spans="1:6" ht="58" customHeight="1">
      <c r="A9" s="3" t="s">
        <v>1362</v>
      </c>
      <c r="B9" s="3" t="s">
        <v>1363</v>
      </c>
      <c r="C9" s="3" t="s">
        <v>1364</v>
      </c>
      <c r="D9" s="36"/>
      <c r="E9" s="36"/>
      <c r="F9" s="36"/>
    </row>
    <row r="10" spans="1:6" ht="58" customHeight="1">
      <c r="A10" s="3" t="s">
        <v>1365</v>
      </c>
      <c r="B10" s="3" t="s">
        <v>1366</v>
      </c>
      <c r="C10" s="3" t="s">
        <v>1367</v>
      </c>
      <c r="D10" s="36"/>
      <c r="E10" s="36"/>
      <c r="F10" s="36"/>
    </row>
    <row r="11" spans="1:6" ht="58" customHeight="1">
      <c r="A11" s="3" t="s">
        <v>1368</v>
      </c>
      <c r="B11" s="3" t="s">
        <v>1369</v>
      </c>
      <c r="C11" s="3" t="s">
        <v>1370</v>
      </c>
      <c r="D11" s="36"/>
      <c r="E11" s="36"/>
      <c r="F11" s="36"/>
    </row>
    <row r="12" spans="1:6" ht="14.5">
      <c r="A12" s="36"/>
      <c r="B12" s="36"/>
      <c r="C12" s="36"/>
      <c r="D12" s="36"/>
      <c r="E12" s="36"/>
      <c r="F12" s="36"/>
    </row>
    <row r="13" spans="1:6" ht="14.5">
      <c r="A13" s="36"/>
      <c r="B13" s="36"/>
      <c r="C13" s="36"/>
      <c r="D13" s="36"/>
      <c r="E13" s="36"/>
      <c r="F13" s="36"/>
    </row>
    <row r="14" spans="1:6" ht="14.5">
      <c r="A14" s="135" t="s">
        <v>1371</v>
      </c>
      <c r="B14" s="135"/>
      <c r="C14" s="135"/>
      <c r="D14" s="135"/>
      <c r="E14" s="135"/>
      <c r="F14" s="135"/>
    </row>
    <row r="15" spans="1:6" ht="34" customHeight="1">
      <c r="A15" s="1" t="s">
        <v>1180</v>
      </c>
      <c r="B15" s="1" t="s">
        <v>1372</v>
      </c>
      <c r="C15" s="1" t="s">
        <v>1373</v>
      </c>
      <c r="D15" s="36"/>
      <c r="E15" s="36"/>
      <c r="F15" s="36"/>
    </row>
    <row r="16" spans="1:6" ht="46" customHeight="1">
      <c r="A16" s="30" t="s">
        <v>7</v>
      </c>
      <c r="B16" s="30" t="s">
        <v>1374</v>
      </c>
      <c r="C16" s="30" t="s">
        <v>1375</v>
      </c>
      <c r="D16" s="36"/>
      <c r="E16" s="36"/>
      <c r="F16" s="36"/>
    </row>
    <row r="17" spans="1:6" ht="46" customHeight="1">
      <c r="A17" s="20" t="s">
        <v>8</v>
      </c>
      <c r="B17" s="20" t="s">
        <v>1376</v>
      </c>
      <c r="C17" s="20" t="s">
        <v>1377</v>
      </c>
      <c r="D17" s="36"/>
      <c r="E17" s="36"/>
      <c r="F17" s="36"/>
    </row>
    <row r="18" spans="1:6" ht="46" customHeight="1">
      <c r="A18" s="35" t="s">
        <v>81</v>
      </c>
      <c r="B18" s="35" t="s">
        <v>1378</v>
      </c>
      <c r="C18" s="35" t="s">
        <v>1379</v>
      </c>
      <c r="D18" s="36"/>
      <c r="E18" s="36"/>
      <c r="F18" s="36"/>
    </row>
    <row r="19" spans="1:6" ht="46" customHeight="1">
      <c r="A19" s="23" t="s">
        <v>10</v>
      </c>
      <c r="B19" s="23" t="s">
        <v>1380</v>
      </c>
      <c r="C19" s="23" t="s">
        <v>1381</v>
      </c>
      <c r="D19" s="36"/>
      <c r="E19" s="36"/>
      <c r="F19" s="36"/>
    </row>
    <row r="20" spans="1:6" ht="46" customHeight="1">
      <c r="A20" s="20" t="s">
        <v>234</v>
      </c>
      <c r="B20" s="20" t="s">
        <v>1382</v>
      </c>
      <c r="C20" s="20" t="s">
        <v>1383</v>
      </c>
      <c r="D20" s="36"/>
      <c r="E20" s="36"/>
      <c r="F20" s="36"/>
    </row>
    <row r="21" spans="1:6" ht="14.5">
      <c r="A21" s="36"/>
      <c r="B21" s="36"/>
      <c r="C21" s="36"/>
      <c r="D21" s="36"/>
      <c r="E21" s="36"/>
      <c r="F21" s="36"/>
    </row>
    <row r="22" spans="1:6" ht="14.5">
      <c r="A22" s="36"/>
      <c r="B22" s="36"/>
      <c r="C22" s="36"/>
      <c r="D22" s="36"/>
      <c r="E22" s="36"/>
      <c r="F22" s="36"/>
    </row>
    <row r="23" spans="1:6" ht="14.5">
      <c r="A23" s="135" t="s">
        <v>1384</v>
      </c>
      <c r="B23" s="135"/>
      <c r="C23" s="135"/>
      <c r="D23" s="135"/>
      <c r="E23" s="135"/>
      <c r="F23" s="135"/>
    </row>
    <row r="24" spans="1:6" ht="34" customHeight="1">
      <c r="A24" s="1" t="s">
        <v>1385</v>
      </c>
      <c r="B24" s="1" t="s">
        <v>1386</v>
      </c>
      <c r="C24" s="1" t="s">
        <v>1387</v>
      </c>
      <c r="D24" s="36"/>
      <c r="E24" s="36"/>
      <c r="F24" s="36"/>
    </row>
    <row r="25" spans="1:6" ht="54" customHeight="1">
      <c r="A25" s="2" t="s">
        <v>1388</v>
      </c>
      <c r="B25" s="2" t="s">
        <v>1389</v>
      </c>
      <c r="C25" s="2" t="s">
        <v>1390</v>
      </c>
      <c r="D25" s="36"/>
      <c r="E25" s="36"/>
      <c r="F25" s="36"/>
    </row>
    <row r="26" spans="1:6" ht="54" customHeight="1">
      <c r="A26" s="3" t="s">
        <v>183</v>
      </c>
      <c r="B26" s="3" t="s">
        <v>1391</v>
      </c>
      <c r="C26" s="3" t="s">
        <v>1392</v>
      </c>
      <c r="D26" s="36"/>
      <c r="E26" s="36"/>
      <c r="F26" s="36"/>
    </row>
    <row r="27" spans="1:6" ht="54" customHeight="1">
      <c r="A27" s="3" t="s">
        <v>152</v>
      </c>
      <c r="B27" s="3" t="s">
        <v>1393</v>
      </c>
      <c r="C27" s="3" t="s">
        <v>1392</v>
      </c>
      <c r="D27" s="36"/>
      <c r="E27" s="36"/>
      <c r="F27" s="36"/>
    </row>
    <row r="28" spans="1:6" ht="54" customHeight="1">
      <c r="A28" s="3" t="s">
        <v>1394</v>
      </c>
      <c r="B28" s="3" t="s">
        <v>1395</v>
      </c>
      <c r="C28" s="3" t="s">
        <v>1396</v>
      </c>
      <c r="D28" s="36"/>
      <c r="E28" s="36"/>
      <c r="F28" s="36"/>
    </row>
    <row r="29" spans="1:6" ht="54" customHeight="1">
      <c r="A29" s="3" t="s">
        <v>1397</v>
      </c>
      <c r="B29" s="3" t="s">
        <v>1398</v>
      </c>
      <c r="C29" s="3" t="s">
        <v>1399</v>
      </c>
      <c r="D29" s="36"/>
      <c r="E29" s="36"/>
      <c r="F29" s="36"/>
    </row>
    <row r="30" spans="1:6" ht="54" customHeight="1">
      <c r="A30" s="3" t="s">
        <v>1400</v>
      </c>
      <c r="B30" s="3" t="s">
        <v>1401</v>
      </c>
      <c r="C30" s="3" t="s">
        <v>1402</v>
      </c>
      <c r="D30" s="36"/>
      <c r="E30" s="36"/>
      <c r="F30" s="36"/>
    </row>
    <row r="31" spans="1:6" ht="14.5">
      <c r="A31" s="36"/>
      <c r="B31" s="36"/>
      <c r="C31" s="36"/>
      <c r="D31" s="36"/>
      <c r="E31" s="36"/>
      <c r="F31" s="36"/>
    </row>
    <row r="32" spans="1:6" ht="14.5">
      <c r="A32" s="36"/>
      <c r="B32" s="36"/>
      <c r="C32" s="36"/>
      <c r="D32" s="36"/>
      <c r="E32" s="36"/>
      <c r="F32" s="36"/>
    </row>
    <row r="33" spans="1:6">
      <c r="A33" s="145" t="s">
        <v>1403</v>
      </c>
      <c r="B33" s="146"/>
      <c r="C33" s="146"/>
      <c r="D33" s="146"/>
      <c r="E33" s="146"/>
      <c r="F33" s="147"/>
    </row>
    <row r="34" spans="1:6">
      <c r="A34" s="148"/>
      <c r="B34" s="125"/>
      <c r="C34" s="125"/>
      <c r="D34" s="125"/>
      <c r="E34" s="125"/>
      <c r="F34" s="149"/>
    </row>
    <row r="35" spans="1:6">
      <c r="A35" s="148"/>
      <c r="B35" s="125"/>
      <c r="C35" s="125"/>
      <c r="D35" s="125"/>
      <c r="E35" s="125"/>
      <c r="F35" s="149"/>
    </row>
    <row r="36" spans="1:6">
      <c r="A36" s="150"/>
      <c r="B36" s="151"/>
      <c r="C36" s="151"/>
      <c r="D36" s="151"/>
      <c r="E36" s="151"/>
      <c r="F36" s="152"/>
    </row>
    <row r="37" spans="1:6" ht="14.5">
      <c r="A37" s="36"/>
      <c r="B37" s="36"/>
      <c r="C37" s="36"/>
      <c r="D37" s="36"/>
      <c r="E37" s="36"/>
      <c r="F37" s="36"/>
    </row>
    <row r="38" spans="1:6">
      <c r="A38" s="153" t="s">
        <v>1404</v>
      </c>
      <c r="B38" s="153"/>
      <c r="C38" s="153"/>
      <c r="D38" s="153"/>
      <c r="E38" s="153"/>
      <c r="F38" s="153"/>
    </row>
    <row r="39" spans="1:6">
      <c r="A39" s="153"/>
      <c r="B39" s="153"/>
      <c r="C39" s="153"/>
      <c r="D39" s="153"/>
      <c r="E39" s="153"/>
      <c r="F39" s="153"/>
    </row>
    <row r="40" spans="1:6">
      <c r="A40" s="153"/>
      <c r="B40" s="153"/>
      <c r="C40" s="153"/>
      <c r="D40" s="153"/>
      <c r="E40" s="153"/>
      <c r="F40" s="153"/>
    </row>
  </sheetData>
  <mergeCells count="7">
    <mergeCell ref="A33:F36"/>
    <mergeCell ref="A38:F40"/>
    <mergeCell ref="A1:F2"/>
    <mergeCell ref="A3:F3"/>
    <mergeCell ref="A5:F5"/>
    <mergeCell ref="A14:F14"/>
    <mergeCell ref="A23:F2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Error Register</vt:lpstr>
      <vt:lpstr>Caveats &amp; Gold Defect</vt:lpstr>
      <vt:lpstr>Error Code Detail</vt:lpstr>
      <vt:lpstr>Data Quality Warnings</vt:lpstr>
      <vt:lpstr>Ziyue Review</vt:lpstr>
      <vt:lpstr>Full Validation</vt:lpstr>
      <vt:lpstr>Client Requirements</vt:lpstr>
      <vt:lpstr>Dataset Inventory</vt:lpstr>
      <vt:lpstr>Methodology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Dilani Gunathilaka Mapitigamage</dc:creator>
  <cp:lastModifiedBy>Dilani Gunathilaka Mapitigamage (24807169)</cp:lastModifiedBy>
  <dcterms:created xsi:type="dcterms:W3CDTF">2026-10-13T11:09:31Z</dcterms:created>
  <dcterms:modified xsi:type="dcterms:W3CDTF">2026-10-13T11:09:31Z</dcterms:modified>
</cp:coreProperties>
</file>