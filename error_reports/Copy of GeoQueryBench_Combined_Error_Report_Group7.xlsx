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featurePropertyBag/featurePropertyBag.xml" ContentType="application/vnd.ms-excel.featurepropertyba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showInkAnnotation="0" autoCompressPictures="0"/>
  <mc:AlternateContent xmlns:mc="http://schemas.openxmlformats.org/markup-compatibility/2006">
    <mc:Choice Requires="x15">
      <x15ac:absPath xmlns:x15ac="http://schemas.microsoft.com/office/spreadsheetml/2010/11/ac" url="C:\Users\mdila\Downloads\"/>
    </mc:Choice>
  </mc:AlternateContent>
  <xr:revisionPtr revIDLastSave="0" documentId="8_{E019007F-8669-485B-B238-366FCAB9D4AB}" xr6:coauthVersionLast="47" xr6:coauthVersionMax="47" xr10:uidLastSave="{00000000-0000-0000-0000-000000000000}"/>
  <bookViews>
    <workbookView xWindow="-110" yWindow="-110" windowWidth="19420" windowHeight="11500" xr2:uid="{00000000-000D-0000-FFFF-FFFF00000000}"/>
  </bookViews>
  <sheets>
    <sheet name="Executive Summary" sheetId="1" r:id="rId1"/>
    <sheet name="Error Register" sheetId="2" r:id="rId2"/>
    <sheet name="Review Notes" sheetId="3" r:id="rId3"/>
    <sheet name="All Query Reviews" sheetId="4" r:id="rId4"/>
  </sheets>
  <calcPr calcId="191028" refMode="R1C1" iterateCount="0" calcOnSave="0" concurrentCalc="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O9" i="1" l="1"/>
  <c r="N9" i="1"/>
  <c r="M9" i="1"/>
  <c r="L9" i="1"/>
  <c r="K9" i="1"/>
  <c r="J9" i="1"/>
  <c r="I9" i="1"/>
  <c r="H9" i="1"/>
  <c r="G9" i="1"/>
  <c r="F9" i="1"/>
  <c r="B17" i="1"/>
  <c r="E9" i="1"/>
  <c r="O8" i="1"/>
  <c r="N8" i="1"/>
  <c r="M8" i="1"/>
  <c r="L8" i="1"/>
  <c r="K8" i="1"/>
  <c r="J8" i="1"/>
  <c r="I8" i="1"/>
  <c r="H8" i="1"/>
  <c r="G8" i="1"/>
  <c r="F8" i="1"/>
  <c r="B16" i="1"/>
  <c r="E8" i="1"/>
  <c r="B8" i="1"/>
  <c r="O7" i="1"/>
  <c r="N7" i="1"/>
  <c r="M7" i="1"/>
  <c r="L7" i="1"/>
  <c r="K7" i="1"/>
  <c r="J7" i="1"/>
  <c r="I7" i="1"/>
  <c r="H7" i="1"/>
  <c r="G7" i="1"/>
  <c r="F7" i="1"/>
  <c r="B15" i="1"/>
  <c r="E7" i="1"/>
  <c r="B7" i="1"/>
  <c r="O6" i="1"/>
  <c r="N6" i="1"/>
  <c r="M6" i="1"/>
  <c r="L6" i="1"/>
  <c r="K6" i="1"/>
  <c r="J6" i="1"/>
  <c r="I6" i="1"/>
  <c r="H6" i="1"/>
  <c r="G6" i="1"/>
  <c r="F6" i="1"/>
  <c r="B14" i="1"/>
  <c r="E6" i="1"/>
  <c r="B6" i="1"/>
  <c r="O5" i="1"/>
  <c r="O10" i="1"/>
  <c r="N5" i="1"/>
  <c r="N10" i="1"/>
  <c r="M5" i="1"/>
  <c r="M10" i="1"/>
  <c r="L5" i="1"/>
  <c r="L10" i="1"/>
  <c r="K5" i="1"/>
  <c r="K10" i="1"/>
  <c r="J5" i="1"/>
  <c r="J10" i="1"/>
  <c r="I5" i="1"/>
  <c r="I10" i="1"/>
  <c r="H5" i="1"/>
  <c r="H10" i="1"/>
  <c r="G5" i="1"/>
  <c r="G10" i="1"/>
  <c r="F5" i="1"/>
  <c r="E5" i="1"/>
  <c r="E10" i="1"/>
  <c r="B5" i="1"/>
  <c r="B13" i="1"/>
  <c r="F10" i="1"/>
</calcChain>
</file>

<file path=xl/sharedStrings.xml><?xml version="1.0" encoding="utf-8"?>
<sst xmlns="http://schemas.openxmlformats.org/spreadsheetml/2006/main" count="8170" uniqueCount="1864">
  <si>
    <t>GeoQueryBench — Combined Group Error Report</t>
  </si>
  <si>
    <t>Combined from Ziyue, Sarwesh, Chaitanya, Dilani and Thomas | 349 unique allocated query reviews</t>
  </si>
  <si>
    <t>Executive measure</t>
  </si>
  <si>
    <t>Result</t>
  </si>
  <si>
    <t>Reviewer</t>
  </si>
  <si>
    <t>Assigned</t>
  </si>
  <si>
    <t>Formal Errors</t>
  </si>
  <si>
    <t>Notes</t>
  </si>
  <si>
    <t>Pass</t>
  </si>
  <si>
    <t>Pass with Note</t>
  </si>
  <si>
    <t>Fail</t>
  </si>
  <si>
    <t>Manual Review</t>
  </si>
  <si>
    <t>Match</t>
  </si>
  <si>
    <t>Mismatch</t>
  </si>
  <si>
    <t>Valid Refusal</t>
  </si>
  <si>
    <t>Reference-only</t>
  </si>
  <si>
    <t>Combined query rows</t>
  </si>
  <si>
    <t>Ziyue</t>
  </si>
  <si>
    <t>Formal error-register entries</t>
  </si>
  <si>
    <t>Sarwesh</t>
  </si>
  <si>
    <t>Review-note entries</t>
  </si>
  <si>
    <t>Chaitanya</t>
  </si>
  <si>
    <t>Open error entries</t>
  </si>
  <si>
    <t>Dilani</t>
  </si>
  <si>
    <t>Team members</t>
  </si>
  <si>
    <t>Thomas</t>
  </si>
  <si>
    <t>Source workbooks</t>
  </si>
  <si>
    <t>TOTAL</t>
  </si>
  <si>
    <t>Interpretation notes</t>
  </si>
  <si>
    <t>• Outcome labels are preserved from the source reports.
• Chaitanya’s Match / Mismatch / Valid refusal / Reference-only results are not recoded as Pass / Fail.
• The 39 formal error entries are the union of all five Error Register sheets.
• 349 query IDs were combined and no duplicate allocation IDs were found.
• Review Notes include both query-specific qualifications and Chaitanya’s scope/methodology notes.</t>
  </si>
  <si>
    <t>Query ID</t>
  </si>
  <si>
    <t>Query Type</t>
  </si>
  <si>
    <t>Method</t>
  </si>
  <si>
    <t>Issue</t>
  </si>
  <si>
    <t>Question (EN)</t>
  </si>
  <si>
    <t>Observed Result / Evidence</t>
  </si>
  <si>
    <t>Recommended Correction / Next Check</t>
  </si>
  <si>
    <t>Retest Acceptance</t>
  </si>
  <si>
    <t>Status</t>
  </si>
  <si>
    <t>Priority</t>
  </si>
  <si>
    <t>Source Workbook</t>
  </si>
  <si>
    <t>CD1-022</t>
  </si>
  <si>
    <t>GeoPandas</t>
  </si>
  <si>
    <t>Global UID de-duplication undercounts samples in overlapping map sheets</t>
  </si>
  <si>
    <t>Rank the 1:250k map sheets by drilling intensity (holes per 1000 km2) and show the top 10 with both hole count and surface-sample count.</t>
  </si>
  <si>
    <t>Projected sheet areas, the top-ten density ranking and all unique hole counts reproduced. The sample spatial join contains a small overlap: counting unique UID within each sheet gives WIDGIEMOOLTHA 409,281, while Gold globally drops UID after joining all sheets and reports 409,277. The four samples are arbitrarily assigned away from WIDGIEMOOLTHA; the result depends on spatial-join ordering. This is separate from the Gold ranking, which is driven by hole density and remains correct. Evidence: density test PASS; test_cd1_questions.py::test_cd1_022_counts_unique_samples_within_each_sheet (XFAIL).</t>
  </si>
  <si>
    <t>Count unique sample UID values within each map sheet, or de-duplicate by the pair (map sheet, UID), rather than globally after the spatial join. Regenerate the result while preserving the independently verified hole-density ranking.</t>
  </si>
  <si>
    <t>WIDGIEMOOLTHA must contain 409,281 unique surface samples, the count must be deterministic across repeated runs, and the top-ten hole-density ranking must continue to match the independent calculation.</t>
  </si>
  <si>
    <t>Open</t>
  </si>
  <si>
    <t>Ziyue_GeoQueryBench_New_Query_Error_Report(1).xlsx</t>
  </si>
  <si>
    <t>CD1-030</t>
  </si>
  <si>
    <t>SQL</t>
  </si>
  <si>
    <t>SQL counterpart silently switches to a narrower drill-hole population</t>
  </si>
  <si>
    <t>In SQL, rank the 1:250k map sheets by drilling density (holes per 1000 square kilometres) and return the top ten.</t>
  </si>
  <si>
    <t>The supplied CSV exactly reproduces when using A_subsurface collar rows: 604,294 collars and the stated top ten. However, metadata calls this the SQL version of CD1-022, whose GeoPandas Gold uses the statewide B_surface drillhole_maxgrade population of 1,836,002 holes. The populations produce materially different rankings and densities: CD1-030 starts WIDGIEMOOLTHA 8,818.8 and KALGOORLIE 8,687.9, whereas CD1-022 starts KALGOORLIE 10,891.7 and WIDGIEMOOLTHA 7,857.4. The source/scope change is not disclosed by the question. Evidence: current-result test PASS; test_cd1_questions.py::test_cd1_030_sql_version_uses_same_drilling_population_as_cd1_022 (XFAIL).</t>
  </si>
  <si>
    <t>Use the same statewide drill-hole population as the documented CD1-022 counterpart, or explicitly revise the question to state that only the four A-database collar regions are in scope. Regenerate the ranking after the scope is fixed.</t>
  </si>
  <si>
    <t>The question and implementation must identify the same drilling population. The returned top ten, hole counts and densities must match an independent calculation for that documented population.</t>
  </si>
  <si>
    <t>CD1-041</t>
  </si>
  <si>
    <t>The requested median nearest-hole distance is missing from the output</t>
  </si>
  <si>
    <t>How close is the nearest drill hole to each mineral occurrence in the Kalgoorlie box? Give the median and the ten most isolated occurrences.</t>
  </si>
  <si>
    <t>Independent EPSG:7851 nearest-neighbour distances for 265 mineral occurrences reproduced all ten isolated sites in CD1-041.csv. The median nearest-hole distance is 61.624 m, but neither the Gold SQL nor CSV returns it even though the question explicitly requests the median. Grouping by site_title can also collapse repeated titles. Evidence: top-ten test PASS; test_cd1_questions.py::test_cd1_041_output_includes_requested_median (XFAIL).</t>
  </si>
  <si>
    <t>Return the independently reproduced median nearest-hole distance together with the ten most isolated occurrences. Preserve a stable occurrence identifier so repeated site titles cannot be collapsed unintentionally.</t>
  </si>
  <si>
    <t>The result must explicitly report a median nearest-hole distance of approximately 61.624 m and retain the independently verified ten most isolated occurrences.</t>
  </si>
  <si>
    <t>CD2-036</t>
  </si>
  <si>
    <t>Positive-only filtering excludes documented usable zero Mo values</t>
  </si>
  <si>
    <t>Is molybdenum measured more often at surface or in drill holes? Give the count of usable values on each side.</t>
  </si>
  <si>
    <t>The current positive-only Gold result is reproducible, but it conflicts with STUDENT_README's rule that negative assay codes are sentinels and usable values are selected with value &gt;= 0. Gold reports 2,410,326 surface and 416,199 drill values; the documented non-negative rule gives 2,549,435 and 434,795, respectively, because Gold excludes 139,109 surface zeros and 18,596 drill zeros. The question asks for counts only, while Gold also adds an unrequested median column; this is recorded as a schema caveat rather than the primary defect. Evidence: positive-only reproduction PASS; test_cd2_questions.py::test_cd2_036_usable_counts_follow_documented_nonnegative_rule (XFAIL).</t>
  </si>
  <si>
    <t>Apply the documented usable-value rule value &gt;= 0 on both surface and drill-hole molybdenum fields. Return the requested counts and either remove the unrequested median or label it as additional information.</t>
  </si>
  <si>
    <t>The regenerated result must include zero values, exclude negative sentinel codes, and report 2,549,435 usable surface values and 434,795 usable drill-hole values.</t>
  </si>
  <si>
    <t>CD2-043</t>
  </si>
  <si>
    <t>Usable zero sulfur values are excluded and the subsurface native unit is mislabeled</t>
  </si>
  <si>
    <t>Compare sulphur between the two databases. Careful: it is not stored the same way on both sides.</t>
  </si>
  <si>
    <t>The current Gold CSV is reproducible, including its defects. First, positive-only filters conflict with the documented non-negative sentinel rule, excluding 112,005 surface zeros and 13,941 subsurface zeros. Second, the subsurface native sulfur unit is s_ppm, but Gold divides the 500 ppm median by 10,000 and reports 0.05 under median_native_unit; 0.05 is percent-equivalent, not the native value. The comparable median_ppm_equiv values are otherwise correctly converted for the positive subset. Evidence: current-output reproduction PASS; test_cd2_questions.py::test_cd2_043_subsurface_native_unit_is_reported_in_ppm (XFAIL); test_cd2_questions.py::test_cd2_043_counts_follow_documented_nonnegative_rule (XFAIL).</t>
  </si>
  <si>
    <t>Use the documented value &gt;= 0 rule on both sulfur fields. Report the subsurface native median in ppm and place any percent-equivalent conversion in a separately and correctly labelled field.</t>
  </si>
  <si>
    <t>Zero values must be included, negative sentinel codes excluded, and the subsurface median_native_unit value must be 500 ppm. The value 0.05 may appear only as a clearly labelled percent-equivalent conversion.</t>
  </si>
  <si>
    <t>CD3-026</t>
  </si>
  <si>
    <t>Equally-nearest drill-hole ties change whether an anomaly is classified as explained</t>
  </si>
  <si>
    <t>Tested but unexplained: in the Kalgoorlie-Kambalda region, find soil gold anomalies (above 100 ppb) that DO have a drill hole within 1 km, but where that hole returned no significant intercept at all (4 m at 0.5 g/t, 2 m dilution). Report the count, the share of drilled anomalies this represents, and the ten strongest.</t>
  </si>
  <si>
    <t>The supplied table is internally consistent at 12,760 drilled anomalies and 10,802 unexplained (84.7%), but nearest-hole selection is not deterministic. Sample 10565363 is exactly tied at 124.82 m to holes 4117539, 4317774 and 4331382; the Gold-selected 4331382 is unassayed while tied hole 4117539 has a qualifying &gt;=4 m intercept. Dropping duplicate UID after a tied nearest join therefore changes the scientific classification according to join order. The run logic also permits unlimited consecutive &lt;=2 m dilution rows. Evidence: package/tie test PASS; test_cd3_questions.py::test_cd3_026_nearest_tie_cannot_change_intercept_classification (XFAIL).</t>
  </si>
  <si>
    <t>Define a deterministic policy for equally-nearest holes, or evaluate all tied holes under an explicitly documented rule. Enforce the intended dilution limit when constructing significant intercepts and regenerate the classifications.</t>
  </si>
  <si>
    <t>Repeated runs must give the same classification and totals. Sample 10565363 and its three equally-nearest holes must be handled according to the documented tie policy, and the dilution rule must be applied consistently.</t>
  </si>
  <si>
    <t>CD3-037</t>
  </si>
  <si>
    <t>A 20 km prefilter removes the most remote eligible mineral occurrences</t>
  </si>
  <si>
    <t>Which gold mineral occurrences have no drill hole within 2 km of them? List the ten with the nearest hole furthest away.</t>
  </si>
  <si>
    <t>An exact EPSG:7851 KD-tree search found 793 gold sites farther than 2 km from their nearest A collar, including 786 farther than 20 km. Gold first discards every site-hole pair beyond 20 km, so those 786 sites vanish before ranking; it returns only seven sites whose nearest collar happens to fall between 2 and 20 km. Evidence: count test PASS; test_cd3_questions.py::test_cd3_037_gold_is_the_true_top_ten_by_nearest_hole_distance (XFAIL).</t>
  </si>
  <si>
    <t>Find the true nearest drill hole for every eligible gold occurrence without an upper-distance prefilter, retain occurrences whose nearest hole is farther than 2 km, and rank the ten largest nearest-hole distances.</t>
  </si>
  <si>
    <t>All 793 occurrences beyond 2 km must remain eligible for ranking, including the 786 whose nearest collar is beyond 20 km, and the returned top ten must match an independent nearest-neighbour calculation.</t>
  </si>
  <si>
    <t>CD3-038</t>
  </si>
  <si>
    <t>A four-region collar source understates statewide drilling in pegmatites</t>
  </si>
  <si>
    <t>How many mapped pegmatite bodies are there, and how many of them contain no drill hole at all?</t>
  </si>
  <si>
    <t>The Gold counts 1,884 pegmatites, 40 drilled and 1,844 undrilled are reproducible only against the four-region A collar table. Using the statewide per-hole maxgrade source identifies 100 pegmatites with drilling and 1,784 without. Because the question says no drill hole at all and does not disclose the narrower source, the Gold count is invalid. Evidence: A-source test PASS; test_cd3_questions.py::test_cd3_038_no_hole_at_all_uses_statewide_drillhole_source (XFAIL).</t>
  </si>
  <si>
    <t>Use the available statewide drill-hole population when testing whether a pegmatite contains no drill hole at all, or explicitly narrow the question to the four A-database collar regions.</t>
  </si>
  <si>
    <t>Under the statewide interpretation, the result must report 1,884 pegmatites, 100 with drilling and 1,784 without drilling, matching an independent spatial check.</t>
  </si>
  <si>
    <t>CD3-047</t>
  </si>
  <si>
    <t>An undisclosed geographic bounding box omits qualifying sampled, undrilled basins</t>
  </si>
  <si>
    <t>Which sedimentary basins contain surface samples but no drilling? Give basin name and type.</t>
  </si>
  <si>
    <t>The 27-row CSV is well formed and sorted, but Gold applies an undisclosed longitude 118-123 and latitude -35 to -22 sample bbox. Independent counterexamples outside that box are Kimberley Basin with 10,151 surface samples and zero A collars and Officer Basin Phase 2 with 32 samples and zero A collars; both satisfy the question and are omitted. Evidence: package test PASS; test_cd3_questions.py::test_cd3_047_includes_sampled_undrilled_basins_outside_hidden_bbox (XFAIL).</t>
  </si>
  <si>
    <t>Remove the hidden longitude/latitude filter and evaluate the stated statewide question, or state the intended regional bounding box explicitly in the question before regenerating the result.</t>
  </si>
  <si>
    <t>For the statewide question, qualifying basins outside the former box, including Kimberley Basin and Officer Basin Phase 2, must be included and independently reproducible.</t>
  </si>
  <si>
    <t>CD3-052</t>
  </si>
  <si>
    <t>A four-region drilling source inflates the number of map sheets classified as undrilled</t>
  </si>
  <si>
    <t>Which map sheets contain mineral occurrences but no drilling?</t>
  </si>
  <si>
    <t>The 111 sorted sheet names reproduce when drilling is restricted to the four-region A collar table. Under the statewide maxgrade hole source, only PERCIVAL has mineral sites but no hole. The question does not disclose the four-region restriction, so nearly the entire Gold list is contradicted by available statewide drilling. Evidence: A-source test PASS; test_cd3_questions.py::test_cd3_052_no_drilling_uses_statewide_drillhole_source (XFAIL).</t>
  </si>
  <si>
    <t>Use the available statewide drill-hole source to determine whether each map sheet has drilling, or explicitly disclose the four-region restriction in the question.</t>
  </si>
  <si>
    <t>Under the statewide interpretation, PERCIVAL must be the only map sheet with mineral occurrences and no drill hole, and the result must match an independent spatial check.</t>
  </si>
  <si>
    <t>CD3-053</t>
  </si>
  <si>
    <t>The answer uses an undisclosed Kalgoorlie bounding box</t>
  </si>
  <si>
    <t>Find greenstone belt area that has surface samples but no drilling within 1 km — undrilled prospective ground.</t>
  </si>
  <si>
    <t>Gold's two rows reproduce inside its hard-coded Kalgoorlie bbox: Eastern Goldfields Superterrane 61,571 and Yilgarn Craton 509 undrilled samples. However, the question asks generally for greenstone-belt area and never names Kalgoorlie or states the coordinates; a hidden geographic scope makes the answer incomplete and non-interpretable. Evidence: scoped reproduction PASS; test_cd3_questions.py::test_cd3_053_question_discloses_its_geographic_scope (XFAIL).</t>
  </si>
  <si>
    <t>State the Kalgoorlie coordinates in the question if that region is intended, or remove the hidden bounding box and evaluate all greenstone-belt areas covered by the supplied data.</t>
  </si>
  <si>
    <t>The question and implementation must use the same explicit geographic scope, and all returned counts must match an independent calculation for that scope.</t>
  </si>
  <si>
    <t>CD3-055</t>
  </si>
  <si>
    <t>Only the p90 ranking is returned although three ranking definitions are claimed</t>
  </si>
  <si>
    <t>Rank the undrilled ground by how prospective it is.</t>
  </si>
  <si>
    <t>Independent reconstruction reproduced 34 qualifying same-cell/no-collar cells and the supplied 15 rows ordered by p90 Au. But Gold says three ranking definitions are presented while selecting only the p90 top 15: this omits three cells from the top 15 by maximum and eight from the top 15 by density. A no-collar 5 km cell is also not equivalent to distance-based undrilled ground, and the Kalgoorlie bbox and ranking choice are unstated. Evidence: p90 table PASS; test_cd3_questions.py::test_cd3_055_represents_each_declared_top_fifteen_ranking (XFAIL).</t>
  </si>
  <si>
    <t>Return a separate top-fifteen list for every declared prospectivity measure, or state that p90 Au is the sole ranking criterion. Also disclose the geographic scope and define whether undrilled means no collar in the cell or no nearby drilling by distance.</t>
  </si>
  <si>
    <t>Every declared ranking must include its complete deterministic top fifteen without silently omitting cells selected by maximum Au or density. The candidate population and undrilled definition must be explicit and independently reproducible.</t>
  </si>
  <si>
    <t>CD4-020</t>
  </si>
  <si>
    <t>Visualisation</t>
  </si>
  <si>
    <t>Intersecting ultramafic polygons expand the map far beyond the requested extent</t>
  </si>
  <si>
    <t>Map the Kambalda nickel system (lon 121.5-121.8, lat -31.3 to -31.1): mapped ultramafic polygons, soil Ni anomalies above 500 ppm, and drill collars, with a 5 km scale bar.</t>
  </si>
  <si>
    <t>The soil Ni anomalies, 28,421 collars, ultramafic selection, projected CRS and 5 km scale-bar construction are reproducible, and the PNG is readable. However, GeoPandas .cx selects every polygon intersecting the bbox and Gold never clips those polygons or fixes the axes to the requested Kambalda extent. The delivered map therefore shows ultramafic bodies extending roughly 40 km south of the requested box, materially changing the map scope. Evidence: layer test PASS; test_cd4_questions.py::test_cd4_020_ultramafic_polygons_are_clipped_to_requested_box (XFAIL).</t>
  </si>
  <si>
    <t>Clip the ultramafic polygons to the requested Kambalda bounding box and set the map axes to the specified longitude and latitude limits while retaining the verified layers, projected-distance handling and 5 km scale bar.</t>
  </si>
  <si>
    <t>The regenerated map must show only the requested lon 121.5–121.8 and lat -31.3–-31.1 extent, contain the verified anomaly and collar layers, and display a correct 5 km scale bar.</t>
  </si>
  <si>
    <t>NS1-037</t>
  </si>
  <si>
    <t>A hidden regional bounding box replaces the requested statewide ranking</t>
  </si>
  <si>
    <t>Which named geological units have the most surface samples in them? Give the top fifteen with unit name and rock type.</t>
  </si>
  <si>
    <t>The supplied CSV contains 15 sorted rows under the implemented calculation, but Gold silently restricts samples and geology to longitude 120.5-122.5 and latitude -32 to -28.5. The question asks which named units have the most samples without naming that region, so the statewide ranking is not answered. Evidence: shape test PASS; test_ns1_questions.py::test_ns1_037_question_discloses_gold_geographic_scope (XFAIL).</t>
  </si>
  <si>
    <t>Remove the undisclosed bounding box and rank named geological units over the complete stated dataset, or add the intended region and coordinates to the question.</t>
  </si>
  <si>
    <t>The question and implementation must share the same explicit scope, and the top fifteen unit names, rock types and counts must match an independent spatial aggregation for that scope.</t>
  </si>
  <si>
    <t>NS1-049</t>
  </si>
  <si>
    <t>The complete major-ion definition omits potassium</t>
  </si>
  <si>
    <t>How many groundwater analyses are there, and how many have a complete major-ion set?</t>
  </si>
  <si>
    <t>Gold correctly reports 40,581 analyses, 35,441 valid laboratory pH values and 36,478 positive TDS values. Its complete-major-ion test returns 23,314 rows but omits potassium even though k_mgl is present; including Na, K, Ca, Mg, Cl, SO4 and HCO3 gives 23,269 complete rows. Evidence: current-definition test PASS; test_ns1_questions.py::test_ns1_049_complete_major_ions_include_potassium (XFAIL).</t>
  </si>
  <si>
    <t>Require valid values for sodium, potassium, calcium, magnesium, chloride, sulfate and bicarbonate when classifying a groundwater analysis as having a complete major-ion set.</t>
  </si>
  <si>
    <t>The total analysis count must remain 40,581 and the complete-major-ion count must be 23,269 when potassium is included, matching an independent field-completeness check.</t>
  </si>
  <si>
    <t>NS1-051</t>
  </si>
  <si>
    <t>The delivered visualisation is blank and also uses an undisclosed regional scope</t>
  </si>
  <si>
    <t>Draw a 100 percent stacked bar of sample medium composition per map sheet, for the ten sheets with the most samples.</t>
  </si>
  <si>
    <t>The PNG file is readable, but pixel inspection and visual review confirm that it contains only title, empty axes and an empty legend marker: there are no coloured stacked bars or map-sheet labels. Gold also filters samples to an undisclosed regional bbox before choosing the top sheets, while the question asks for the ten sheets with most samples generally. Evidence: empty-image check PASS; test_ns1_questions.py::test_ns1_051_delivered_chart_contains_plot_data (XFAIL).</t>
  </si>
  <si>
    <t>Regenerate the 100 percent stacked bar with visible coloured bars, map-sheet labels and a readable legend. Select the statewide top ten sheets unless a regional scope is explicitly added to the question.</t>
  </si>
  <si>
    <t>The PNG must contain ten labelled map sheets with non-empty stacked bars whose medium shares sum to 100 percent for each sheet, and the selection scope must be stated and independently reproducible.</t>
  </si>
  <si>
    <t>NS2-048</t>
  </si>
  <si>
    <t>Hidden medium, Au-range, minimum-count and top-12 filters answer only a subset of the question</t>
  </si>
  <si>
    <t>How many surface samples and what median gold does each greenstone belt have?</t>
  </si>
  <si>
    <t>Gold's filtered computation is reproducible: 20 belt groups are present, 18 meet n&gt;=200, and the CSV contains the top 12 by median after restricting to soil and 0&lt;Au&lt;100. The question asks how many surface samples and median gold each belt has; it does not authorize soil-only selection, excluding non-positive/high values, n&gt;=200 or top-12 truncation. Evidence: filtered reproduction PASS; test_ns2_questions.py::test_ns2_048_answers_each_greenstone_belt_without_hidden_medium_or_top_n_filters (XFAIL).</t>
  </si>
  <si>
    <t>Report the requested sample count and median gold for every greenstone belt using an explicitly documented usable-value rule. Remove the soil-only, n &gt;= 200 and top-12 restrictions unless they are added to the question.</t>
  </si>
  <si>
    <t>All qualifying greenstone belts must be represented without undisclosed truncation, and each count and median must match an independent aggregation under the documented measurement rule.</t>
  </si>
  <si>
    <t>NS3-018</t>
  </si>
  <si>
    <t>The buffer/within approximation misses pairs exactly on the 10 m boundary</t>
  </si>
  <si>
    <t>Duplicate detection: within the Kalgoorlie box (lon 121.2-121.8, lat -31.0 to -30.5), how many pairs of soil samples sit within 10 m of each other but carry different sample IDs?</t>
  </si>
  <si>
    <t>An exact projected cKDTree query found 43,884 unordered soil-sample pairs at distance &lt;=10 m, all with different sample IDs; 36,199 pairs have zero coordinate distance. Gold's polygon-buffer/within approximation reports 43,882 and misses two boundary pairs. Evidence: exact-count test PASS; test_ns3_questions.py::test_ns3_018_gold_matches_exact_dwithin_pair_count (XFAIL).</t>
  </si>
  <si>
    <t>Use an exact projected distance-within test with an inclusive &lt;= 10 m boundary and count each unordered pair once while excluding self-pairs.</t>
  </si>
  <si>
    <t>The regenerated result must contain 43,884 unordered pairs, include the two boundary pairs omitted by the current method, and contain no self-pairs or duplicate reversed pairs.</t>
  </si>
  <si>
    <t>NS3-033</t>
  </si>
  <si>
    <t>Undisclosed geographic, medium and Au filters limit the analysis, and tied nearest faults may duplicate samples</t>
  </si>
  <si>
    <t>How far are surface samples from the nearest mapped fault, and does gold vary with that distance?</t>
  </si>
  <si>
    <t>The six-band CSV is internally ordered and contains 66,899 joined rows, but Gold silently restricts both samples and faults to a Kalgoorlie bbox, selects soil only and excludes Au &lt;=0 or &gt;=100. The general question discloses none of those filters. A tied nearest-fault join can also duplicate a sample row. Evidence: package test PASS; test_ns3_questions.py::test_ns3_033_question_discloses_gold_scope_and_filters (XFAIL).</t>
  </si>
  <si>
    <t>State or remove the Kalgoorlie bounding box, soil-only filter and Au validity range. Apply a deterministic nearest-fault tie policy and ensure each sample contributes once to the distance-band summary.</t>
  </si>
  <si>
    <t>The question and implementation must share the same explicit scope and filters, every included sample must be counted once, and the six-band summary must match an independent nearest-fault calculation.</t>
  </si>
  <si>
    <t>NS3-047</t>
  </si>
  <si>
    <t>An undisclosed sample bounding box omits statewide townsites and yields only six rows</t>
  </si>
  <si>
    <t>Which townsites have the most surface samples within 10 km?</t>
  </si>
  <si>
    <t>Gold returns six towns sorted by nearby sample count, but the SQL first limits samples to longitude 120.5-122.5 and latitude -32 to -28.5. The question asks which townsites have the most samples within 10 km without defining that regional restriction, so statewide candidates are omitted and even the requested top ten cannot be produced. Evidence: shape test PASS; test_ns3_questions.py::test_ns3_047_question_discloses_gold_sample_bbox (XFAIL).</t>
  </si>
  <si>
    <t>Remove the hidden regional sample filter and rank townsites using statewide surface samples, or state the intended regional bounding box and requested result size explicitly.</t>
  </si>
  <si>
    <t>For the current statewide wording, the regenerated result must return a deterministic top ten and match an independent 10 km spatial count for every returned townsite.</t>
  </si>
  <si>
    <t>NS4-026</t>
  </si>
  <si>
    <t>The corrected-value column is labelled with the wrong unit</t>
  </si>
  <si>
    <t>Data quality audit: which WAMEX reports appear to have recorded soil gold in the wrong unit? Flag reports whose median soil gold exceeds 100 ppm, which is geologically impossible for soil, and show what the values would be if they were actually ppb.</t>
  </si>
  <si>
    <t>The six flagged WAMEX reports and stated-value statistics reproduce. However, dividing a numeric value recorded as ppm by 1,000 gives the ppm equivalent under the hypothesis that the number was actually entered in ppb. Gold places those converted values (for example 23.1685 ppm) under median_if_actually_ppb, which is a unit-label contradiction and can cause a further thousand-fold misinterpretation. Evidence: report test PASS; test_ns4_questions.py::test_ns4_026_corrected_value_column_uses_its_actual_unit (XFAIL).</t>
  </si>
  <si>
    <t>If values are divided by 1,000 under the hypothesis that the recorded numbers were actually ppb, label the resulting field as the ppm equivalent. Alternatively, retain the original numeric values and label them as hypothesised ppb.</t>
  </si>
  <si>
    <t>Every corrected-value column must have dimensionally consistent units. For example, 23.1685 after division by 1,000 must be labelled ppm equivalent, not ppb.</t>
  </si>
  <si>
    <t>NS4-050</t>
  </si>
  <si>
    <t>Top-12 truncation omits qualifying samples and does not provide the requested total</t>
  </si>
  <si>
    <t>How many surface samples inside greenstone belts have both nickel and copper measured?</t>
  </si>
  <si>
    <t>Gold returns the 12 largest belt groups plus unrequested medians, whose n_samples sum to 1,702,262. The question asks how many surface samples inside greenstone belts have both elements measured; the complete unique qualifying total is 1,706,106 across 22 groups, so top-12 truncation omits 3,844 samples and does not provide the requested total. Evidence: package test PASS; test_ns4_questions.py::test_ns4_050_returns_complete_total_inside_greenstone_belts (XFAIL).</t>
  </si>
  <si>
    <t>Return the complete unique count of surface samples inside greenstone belts with both Ni and Cu measured, and optionally provide all belt groups without truncation. Remove unrequested medians or label them as supplementary.</t>
  </si>
  <si>
    <t>The complete unique total must be 1,706,106 across 22 groups, with no double counting; any grouped counts must reconcile exactly to that total.</t>
  </si>
  <si>
    <t>NS5-043</t>
  </si>
  <si>
    <t>Only five of 26 assay elements are reported and legitimate zero values are excluded</t>
  </si>
  <si>
    <t>Prepare an element coverage table for a bar chart: each element with its usable count and share of the table.</t>
  </si>
  <si>
    <t>The supplied five-row positive-only table is reproducible, but surface_assay contains 26 element columns and the question asks for each element. Gold omits 21 elements and uses &gt;0 rather than the documented &gt;=0 usable-value rule. For example, non-negative Au coverage is 5,298,414 rather than the positive-only 5,083,154. Evidence: five-row reproduction PASS; test_ns5_questions.py::test_ns5_043_covers_every_assay_element_using_nonnegative_rule (XFAIL).</t>
  </si>
  <si>
    <t>Enumerate every element column in surface_assay, apply the documented usable-value rule value &gt;= 0, and calculate each element's usable count and share using a clearly stated denominator.</t>
  </si>
  <si>
    <t>The regenerated table must contain all 26 elements, include legitimate zero values and exclude negative sentinel codes. The non-negative usable Au count must be 5,298,414.</t>
  </si>
  <si>
    <t>CD1-026</t>
  </si>
  <si>
    <t>geopandas</t>
  </si>
  <si>
    <t>Non-deterministic nearest-neighbour tie-break changes the reported significant-intercept count.</t>
  </si>
  <si>
    <t>In the Kalgoorlie-Kambalda region, how many soil gold anomalies (above 100 ppb) have a drill hole within 500 m that returns a significant intercept ΓÇö at least 4 m composited at 0.5 g/t Au or better, allowing up to 2 m of internal dilution? Do not use any pre-computed maximum-grade table.</t>
  </si>
  <si>
    <t>The rerun gives n_hole_has_significant_intercept = 1,832 versus the supplied 1,821, out of 15,180 soil-Au anomalies in the Kalgoorlie-Kambalda region (both n_anomalies_in_region and n_with_hole_within_500m match at 15,180). The code runs gpd.sjoin_nearest(g, holes, max_distance=500, ...).drop_duplicates('uid') and then reads the best_intercept_gpt attribute of whichever tied hole survived drop_duplicates, with no documented tie-break rule.</t>
  </si>
  <si>
    <t>Define an explicit deterministic tie-break policy for equally-nearest holes (e.g. a stable secondary key, or evaluate all tied holes and take the best/any/all qualifying result under a documented rule), then regenerate the gold result.</t>
  </si>
  <si>
    <t>Repeated execution under the documented tie policy must return the same anomaly-hole pairing and the same n_hole_has_significant_intercept count on every run.</t>
  </si>
  <si>
    <t>Sarwesh_GeoQueryBench_New_Query_Error_Report(1).xlsx</t>
  </si>
  <si>
    <t>NS1-045</t>
  </si>
  <si>
    <t>sql</t>
  </si>
  <si>
    <t>LIMIT without a secondary sort key changes which parent groups appear in the top 15, not just their order.</t>
  </si>
  <si>
    <t>Which stratigraphic groups contain the most formations? Roll the Formation-rank units up to their parent.</t>
  </si>
  <si>
    <t>Both supplied and rerun results are (15, 3) with identical columns, but 6 of the 15 parent_group values differ between them, not merely their order: the rerun's top 15 includes Moorarie Supersuite and Radley Suite in place of the supplied result's Albert Edward Group and Leviathan Suite. The query is ORDER BY n_distinct_formations DESC LIMIT 15 with no tie-breaker, and several parent groups evidently tie at the rank 13-15 boundary.</t>
  </si>
  <si>
    <t>Add a deterministic secondary ORDER BY key (e.g. parent_group name) so ties at the LIMIT boundary resolve the same way on every run.</t>
  </si>
  <si>
    <t>Repeated execution of the corrected query must return the identical set and order of 15 parent groups on every run.</t>
  </si>
  <si>
    <t>NS1-034</t>
  </si>
  <si>
    <t>python</t>
  </si>
  <si>
    <t>Supplied gold result is internally inconsistent for the w_ppm row.</t>
  </si>
  <si>
    <t>What is actually in the surface geochemistry table? For each element, how many samples have a usable value?</t>
  </si>
  <si>
    <t>By construction, n_usable + n_sentinel_or_nonpositive must equal n_rows for every row. This holds for all 26 rows of the independently generated rerun CSV and for 25 of 26 rows of the supplied geoquerybench_v0.1/gold_results/NS1-034.csv, but fails for the w_ppm row: supplied n_sentinel_or_nonpositive = 0, while n_rows (7,516,543) minus n_usable (1,019,261) = 6,497,282 — exactly the rerun's independently computed value. Confirmed by direct arithmetic on the two already-supplied CSVs; no code execution was needed.</t>
  </si>
  <si>
    <t>Regenerate the w_ppm row of the supplied gold_results/NS1-034.csv from the gold code so that n_usable + n_sentinel_or_nonpositive = n_rows holds for every row.</t>
  </si>
  <si>
    <t>The regenerated supplied result must satisfy the n_usable + n_sentinel_or_nonpositive = n_rows identity for all 26 rows and match an independent rerun exactly.</t>
  </si>
  <si>
    <t>NS3-026</t>
  </si>
  <si>
    <t>Gold code cannot execute under the assigned validator; batch summary misreports the failure as PASS_EXECUTION.</t>
  </si>
  <si>
    <t>Has drilling moved closer to known deposits over time? For holes surveyed in each year from 2016, compute the median distance from the collar to the nearest MINEDEX mineral site.</t>
  </si>
  <si>
    <t>The batch summary records exit_code 0 / PASS_EXECUTION with an empty output_file field, but the log itself shows 'NameError: name \'con\' is not defined'. The gold code opens with con.execute("SELECT DISTINCT s.hole_id, ...") expecting a DuckDB connection, but the question is tagged task=geopandas and run through validate_geopandas.py, which never imports duckdb or defines con anywhere in its source (confirmed by reading the validator); only validate_sql.py creates that connection, and its execute_gold() only accepts a pure SQL string, not this mixed Python/SQL gold code. Separately, validate_geopandas.py's exception handler never calls sys.exit(1) on gold-code failure, so $LASTEXITCODE stays 0 regardless. No other geopandas-task log in this assigned set showed this masked-failure pattern.</t>
  </si>
  <si>
    <t>Either give validate_geopandas.py a DuckDB connection object in its execution namespace so hybrid SQL/GeoPandas gold code like this can run, or reclassify NS3-026 to a validator that already provides one. Separately, add sys.exit(1) to validate_geopandas.py's gold-code-failure exception handler so failures are never reported as PASS_EXECUTION.</t>
  </si>
  <si>
    <t>NS3-026 must execute successfully and produce an NS3-026_rerun.csv under whichever validator is assigned to it, and the batch summary's exit code must be non-zero for any future gold-code execution failure under validate_geopandas.py.</t>
  </si>
  <si>
    <t>CD2-018</t>
  </si>
  <si>
    <t>CD-2</t>
  </si>
  <si>
    <t>Regional bounding-box counts differ from supplied gold.</t>
  </si>
  <si>
    <t>R4 64,164 vs 64,514; R2 208,355 vs 208,366; R1 534,979 vs 534,994; R3 1,300 vs 1,302. Rerun used collar-coordinate extents as each region’s box.</t>
  </si>
  <si>
    <t>Confirm intended region geometries/bounds and rerun; retain supplied gold counts until confirmed.</t>
  </si>
  <si>
    <t>High</t>
  </si>
  <si>
    <t>GeoQueryBench_Chaitanya_Error_Report_Reference_Style(1).xlsx</t>
  </si>
  <si>
    <t>NS4-017</t>
  </si>
  <si>
    <t>NS-4</t>
  </si>
  <si>
    <t>Oxide-total QC summary differs materially from supplied gold.</t>
  </si>
  <si>
    <t>Rerun: 13,779 within 95–105; 35,328 below 95; 141 above 105; median −9,904.49. Gold: 27,050 within; 22,026 below; 8 above; median 98.01.</t>
  </si>
  <si>
    <t>Confirm sentinel/missing-value handling and iron-oxide field definition, then regenerate. Keep gold as current reference pending clarification.</t>
  </si>
  <si>
    <t>CD2-029</t>
  </si>
  <si>
    <t>Missing bore identifiers</t>
  </si>
  <si>
    <t>In SQL, for each groundwater bore with gold above 50 ng/L, find the distance in metres to the nearest gold MINEDEX site.</t>
  </si>
  <si>
    <t>Fail: the spatial distance calculation reproduces, but bore_name is null in all 21 rows. The output therefore does not identify each groundwater bore as asked. Use site_code or analysis_id as the bore identifier, optionally retaining bore_name.</t>
  </si>
  <si>
    <t>Return a populated site_code or analysis_id, retaining bore_name if useful. Confirm the identifier represents the requested bore.</t>
  </si>
  <si>
    <t>Rerun and confirm all 21 records have an appropriate non-null identifier and unchanged validated distances.</t>
  </si>
  <si>
    <t>Open — no closure recorded</t>
  </si>
  <si>
    <t>GeoQueryBench_New_Query_Error_Report(1).xlsx</t>
  </si>
  <si>
    <t>CD4-026</t>
  </si>
  <si>
    <t>viz</t>
  </si>
  <si>
    <t>NumPy condition type error</t>
  </si>
  <si>
    <t>Map the Kalgoorlie-Kambalda region showing soil gold anomalies coloured by whether the nearest hole within 1 km returned a significant intercept (4 m at 0.5 g/t), no intercept, or has no hole nearby at all, over a grey backdrop of all drilling.</t>
  </si>
  <si>
    <t>Fail executability: the supplied code raises a NumPy TypeError because the second np.select condition is not a strict Boolean array. Adding .astype(bool) after fillna(False) makes it run and reproduces the supplied map at 98.6% perceptual-hash similarity; the spatial and classification logic otherwise match.</t>
  </si>
  <si>
    <t>Convert the affected condition after fillna(False) to a strict Boolean array using .astype(bool).</t>
  </si>
  <si>
    <t>Run the original environment and supported target environment. Confirm execution and inspect map categories, legend and spatial placement.</t>
  </si>
  <si>
    <t>NS1-027</t>
  </si>
  <si>
    <t>Duplicate specimen rows</t>
  </si>
  <si>
    <t>Interrogate the WACHEM reference suite for specimens whose silica content exceeds 70 weight percent; return the specimen identifier, lithological designation and the SiO2 figure.</t>
  </si>
  <si>
    <t>Fail: the supplied and independently reproduced outputs agree, but the returned specimen list contains 67 exact duplicate rows. Use SELECT DISTINCT (or establish a documented assay-level key) to return each specimen/value combination once.</t>
  </si>
  <si>
    <t>Confirm intended output grain. Use SELECT DISTINCT for unique specimen/value combinations, or retain a documented assay-level key for separate records.</t>
  </si>
  <si>
    <t>Rerun and verify duplicate count at the agreed output grain. Preserve valid distinct assays.</t>
  </si>
  <si>
    <t>NS4-041</t>
  </si>
  <si>
    <t>Incorrect/internally inconsistent Eu-anomaly formula</t>
  </si>
  <si>
    <t>Compute the light-to-heavy rare earth ratio (La/Yb) and the europium anomaly for the WA geochemistry samples, and summarise their distributions.</t>
  </si>
  <si>
    <t>The supplied result is reproducible, but the code comment states that Eu/Eu* normally uses Sm_n and Gd_n and that Sm and Nd will be used because Gd is unavailable. The implemented expression instead uses eu_n / sqrt(sm_n * la_n). Nd is not used at all, despite its normalisation value being documented. Therefore median_eu_anomaly = 0.410 and n_negative_eu_anomaly = 16,297 are based on a formula inconsistent with the stated method.</t>
  </si>
  <si>
    <t>Confirm the intended Gd-free Eu-anomaly approximation with the client/domain expert and implement that formula consistently. If the intended approximation uses Nd, include and normalise nd_ppm and replace the unintended La term. Regenerate the gold result afterward.</t>
  </si>
  <si>
    <t>The corrected query must use the agreed Eu-anomaly definition consistently, rerun successfully on the frozen dataset, and the regenerated supplied result must match an independent rerun.</t>
  </si>
  <si>
    <t>Thomas_GeoQueryBench_New_Query_Error_Report(1).xlsx</t>
  </si>
  <si>
    <t>NS4-051</t>
  </si>
  <si>
    <t>Output aggregation does not identify requested samples, and the R-premise geological classification is unsupported.</t>
  </si>
  <si>
    <t>Find the surface samples where nickel exceeds 10 percent by weight — those would be massive sulphide.</t>
  </si>
  <si>
    <t>The &gt;100,000 ppm threshold is correctly implemented and 3,175 qualifying records are represented across four media (2,626 soil, 409 shallow_drill, 138 rock_chip and 2 stream_sed). However, the query groups these records by medium rather than returning the individual samples requested. It also cannot establish from Ni concentration alone that these records are massive sulphide; extreme maxima reach 1,000,000 ppm (100 wt%), which the gold-code comment itself identifies as requiring record-level checking.</t>
  </si>
  <si>
    <t>Return the individual qualifying sample identifiers, Ni values and relevant sample/location information for Ni &gt;100,000 ppm. Treat “massive sulphide” as an unsupported premise unless an appropriate geological/mineralogical field independently establishes that classification, and flag implausibly high values for data-quality review.</t>
  </si>
  <si>
    <t>The corrected result identifies the individual samples exceeding 100,000 ppm Ni and does not infer massive-sulphide classification solely from Ni concentration unless supported by independent dataset evidence.</t>
  </si>
  <si>
    <t>CD2-016</t>
  </si>
  <si>
    <t>Non-deterministic handling of equally-nearest routine samples changes the reported Cu correlation.</t>
  </si>
  <si>
    <t>Two sources of truth: where a WACHEM reference sample sits within 100 m of a routine surface sample, how well do their copper values agree? Report the correlation and the median absolute difference.</t>
  </si>
  <si>
    <t>The nearest join returns 7,190 rows for 4,917 distinct WACHEM samples. 1,261 WACHEM samples have multiple equally-nearest matches, and 466 of those have different routine Cu values. Applying drop_duplicates('wid') therefore selects an arbitrary tied match. The rerun gives r = 0.1291 versus supplied r = 0.1602; n_pairs = 4,917 and median absolute difference = 14.0 ppm remain unchanged.</t>
  </si>
  <si>
    <t>Define an explicit deterministic policy for equally-nearest routine samples, such as a documented stable secondary-key tie-break or an aggregation across tied nearest samples, then regenerate the gold result.</t>
  </si>
  <si>
    <t>Repeated execution under the documented tie policy must return the same WACHEM-routine pairing and correlation, and the supplied result must match the regenerated deterministic result.</t>
  </si>
  <si>
    <t>CD2-025</t>
  </si>
  <si>
    <t>Undefined tie handling for equally-nearest drill holes causes unstable Au-agreement classification; invalid/sentinel hole maximum grades may also enter the classification.</t>
  </si>
  <si>
    <t>Take the strongest surface gold spots in soil (over 100 ppb). For each, check whether the closest hole within a kilometre also came back rich in gold, at least 1 gram per tonne. Summarise how many agree, how many disagree, and how many have nothing drilled nearby.</t>
  </si>
  <si>
    <t>The rerun returns 14,506 both_anomalous, 81,377 surface_only and 66,598 no_hole_within_1km, versus supplied counts of 14,594, 81,289 and 66,598. Of 95,883 anomalies with a nearby hole, 19,503 have multiple equally-nearest holes; 3,879 have different maximum Au values and 229 cross the 1 g/t threshold. Deterministic tie policies produce different both_anomalous counts (14,494 using smallest hole_row_id, 14,678 using ANY tied hole ≥1 g/t, and 14,449 requiring ALL tied holes ≥1 g/t). A -9999 hole_max_au value was also observed among tied matches.</t>
  </si>
  <si>
    <t>Define and document a deterministic policy for equally-nearest holes, filter or otherwise handle invalid/sentinel drill-hole maximum Au values according to dataset metadata, and regenerate the gold result.</t>
  </si>
  <si>
    <t>Repeated execution must produce identical classifications under the documented tie policy; no invalid/sentinel Au value should be interpreted as a valid &lt;1 g/t result; and the regenerated supplied result must exactly match the deterministic rerun.</t>
  </si>
  <si>
    <t>CD4-047</t>
  </si>
  <si>
    <t>Fault length is assigned to 10 km cells by whole-geometry centroid rather than actual line-grid intersection, and intersecting faults are not clipped to the Kalgoorlie bounding box.</t>
  </si>
  <si>
    <t>Prepare fault density per 10 km cell in the Kalgoorlie box: total fault length per cell.</t>
  </si>
  <si>
    <t>The gold result is exactly reproducible, but secondary validation using the same 10 km grid origin and true geometry intersection finds material differences. The gold method includes 11,824.69 km of fault geometry versus 11,311.36 km actually inside the Kalgoorlie box, adding 513.33 km (4.34%) outside the requested area. Across the grid, 149 cells differ by &gt;0.01 km, the maximum absolute difference is 74.95 km and the mean absolute difference is 10.17 km. Only 17 of the gold top-20 cells are also present in the intersection-based top 20.</t>
  </si>
  <si>
    <t>Clip fault geometries to the exact Kalgoorlie bounding box, construct the 10 km grid, intersect/clip fault lines at cell boundaries, calculate the length of each resulting line segment in EPSG:7851, sum those lengths by cell, and regenerate the top-cell result.</t>
  </si>
  <si>
    <t>The regenerated result must use only fault length inside the Kalgoorlie box and actual line length within each 10 km cell. Total per-cell length should sum consistently to the clipped fault length (subject only to negligible numerical precision), and the supplied top cells and values must match an independent grid-intersection rerun.</t>
  </si>
  <si>
    <t>NS3-020</t>
  </si>
  <si>
    <t>The supplied gold result is inconsistent with the supplied code and current frozen dataset: WIDGIEMOOLTHA is undercounted by four samples.</t>
  </si>
  <si>
    <t>Which 10 map sheets have the highest surface-sample density (samples per 1000 km2)?</t>
  </si>
  <si>
    <t>The supplied result reports 409,277 samples for WIDGIEMOOLTHA, while repeated execution of the supplied code returns 409,281. Secondary validation independently confirms 409,281 distinct samples within WIDGIEMOOLTHA. The sheet has one polygon, there are no boundary-only samples, no WIDGIEMOOLTHA samples belong to another sheet, no sample across the dataset matches more than one distinct map sheet, and drop_duplicates('uid') changes no map-sheet counts. The discrepancy therefore remains a supplied-result reproducibility inconsistency rather than an identified spatial-logic error.</t>
  </si>
  <si>
    <t>Investigate the provenance of the supplied CD result and regenerate NS3-020.csv from the frozen benchmark dataset and supplied gold code. If 409,277 was generated from a different dataset version or geospatial environment, document and reconcile that difference before regenerating the benchmark artifact.</t>
  </si>
  <si>
    <t>Executing the documented gold code against the designated frozen dataset must reproduce the supplied result exactly, including the WIDGIEMOOLTHA sample count and derived density, while retaining the semantically correct map-sheet density calculation.</t>
  </si>
  <si>
    <t>NS2-054</t>
  </si>
  <si>
    <t>The log-probability plot does not actually identify the number of soil-Au populations or determine the threshold between them; P90/P97.5/P99 are fixed percentile references rather than inferred population boundaries. An unstated Au &lt; 100 ppm filter also truncates the high-Au tail.</t>
  </si>
  <si>
    <t>Draw a log-probability plot of soil gold to identify how many populations are present and where the threshold between them lies.</t>
  </si>
  <si>
    <t>The supplied and rerun figures are semantically consistent and show the same soil-Au probability curve with P90 = 0.018 ppm, P97.5 = 1.300 ppm and P99 = 3.299 ppm. However, neither the code nor the figure states how many populations are present or identifies a population boundary. The three vertical lines are predetermined percentiles, not thresholds inferred from slope breaks in the probability plot. The code also excludes Au &gt;= 100 ppm without this cutoff being specified in the question.</t>
  </si>
  <si>
    <t>Use an explicit and documented method to identify population segments or breakpoints in the log-probability distribution, report the resulting number of populations and threshold value(s), and annotate those inferred boundaries on the figure. Remove or justify the &lt;100 ppm upper cutoff.</t>
  </si>
  <si>
    <t>The regenerated analysis must explicitly report the inferred number of soil-Au populations and the threshold value(s) separating them, with the plotted boundary/boundaries derived from a documented population or breakpoint criterion rather than arbitrary percentile markers. Any upper Au cutoff must be justified or removed.</t>
  </si>
  <si>
    <t>Query ID / Scope</t>
  </si>
  <si>
    <t>Topic</t>
  </si>
  <si>
    <t>Recorded Verdict / Status</t>
  </si>
  <si>
    <t>Qualification / Review Note</t>
  </si>
  <si>
    <t>Recommended Follow-up / Action</t>
  </si>
  <si>
    <t>Evidence File / Test</t>
  </si>
  <si>
    <t>CD1-045</t>
  </si>
  <si>
    <t>The reconstructed Kambalda selection contained 14,841 surface samples and 28,421 drill collars. Two distinct layers, count-bearing legend entries, labels, title and equal coordinate aspect rendered successfully; the supplied 966x655 PNG is readable and nonblank. Equal aspect in geographic degrees is only an approximation of physical scale, but it is adequate for the requested qualitative overlay. Evidence: test_cd1_questions.py::test_cd1_045_reconstructs_two_layer_kambalda_map_contract (PASS).</t>
  </si>
  <si>
    <t>Retain the Gold result and document the recorded qualification so its scope and assumptions are not overstated.</t>
  </si>
  <si>
    <t>test_cd1_questions.py::test_cd1_045_reconstructs_two_layer_kambalda_map_contract</t>
  </si>
  <si>
    <t>CD2-023</t>
  </si>
  <si>
    <t>Independent aggregation reproduced the ten largest surface-sample WAMEX reports and verified that the tenth count exceeds the eleventh, so the LIMIT 10 boundary is unambiguous. A left merge with collar counts preserved all ten reports; nine have zero drill holes and report 98358 has 181. Collar row counts equalled distinct hole_id counts. Schema, identifiers, ordering and values matched CD2-023.csv. The nine zero drill-hole counts are valid outputs but remain a cross-dataset coverage or lineage concern. Evidence: test_cd2_questions.py::test_cd2_023_preserves_top_surface_reports_without_drill_holes (PASS).</t>
  </si>
  <si>
    <t>Retain the current Gold result under the recorded validation verdict. Document the recorded data-quality concern before using the result in downstream quantitative interpretation.</t>
  </si>
  <si>
    <t>test_cd2_questions.py::test_cd2_023_preserves_top_surface_reports_without_drill_holes</t>
  </si>
  <si>
    <t>CD2-024</t>
  </si>
  <si>
    <t>Independent recomputation used the inclusive Kambalda box, soil-only surface samples, non-negative Ni values and strict anomaly thresholds. It reproduced 5,895 measured soil samples with 10.04% over 500 ppm and 7,426 measured drill holes with 36.37% over 5,000 ppm. Surface UIDs and hole references were unique, and the GeoParquet CRS was EPSG:7844. The Gold comparison is numerically valid, but the two percentages use different media, thresholds and denominators; deciding whether they are geologically consistent requires domain judgement. Evidence: test_cd2_questions.py::test_cd2_024_recomputes_kambalda_nickel_proportions (PASS).</t>
  </si>
  <si>
    <t>Retain the current Gold result under the recorded validation verdict. Obtain geological or domain-expert review of the interpretation described in the qualification.</t>
  </si>
  <si>
    <t>test_cd2_questions.py::test_cd2_024_recomputes_kambalda_nickel_proportions</t>
  </si>
  <si>
    <t>CD3-021</t>
  </si>
  <si>
    <t>Independent assay merge, percentile ranking and EPSG:9473 nearest-hole search reproduced 113,434 qualifying anomalies, 36,787 undrilled targets and all ten Gold rows. All ten rows form five duplicate-coordinate pairs with different sample IDs, so the numerical answer is valid but the apparent top-ten spatial diversity is misleading. Evidence: test_cd3_questions.py::test_cd3_021_recomputes_composite_scores_and_undrilled_target_count (PASS).</t>
  </si>
  <si>
    <t>test_cd3_questions.py::test_cd3_021_recomputes_composite_scores_and_undrilled_target_count</t>
  </si>
  <si>
    <t>CD4-021</t>
  </si>
  <si>
    <t>Statewide WAROX counts reproduced as 131,388 mineral and 149,930 rock_type observations. The drillhole layer contains 1,836,002 holes and the code explicitly discloses plotting every thirtieth row (61,201 points), so downsampling is transparent rather than a hidden count claim. The PNG is readable and nonblank. Evidence: test_cd4_questions.py::test_cd4_021_statewide_observation_categories_and_sampling_are_disclosed (PASS).</t>
  </si>
  <si>
    <t>test_cd4_questions.py::test_cd4_021_statewide_observation_categories_and_sampling_are_disclosed</t>
  </si>
  <si>
    <t>CD4-033</t>
  </si>
  <si>
    <t>The map inputs reproduce 254 pegmatite features intersecting the Kalgoorlie bbox and 373,776 R1 collars; both layers are visible and the PNG is readable. Visual inspection shows that the legend contains only the drill-hole label, because the GeoPandas polygon label is not propagated to Matplotlib's legend. This is a presentation caveat rather than a wrong spatial result. Evidence: test_cd4_questions.py::test_cd4_033_kalgoorlie_pegmatite_and_collar_layers_are_present (PASS), plus visual inspection of CD4-033.png.</t>
  </si>
  <si>
    <t>test_cd4_questions.py::test_cd4_033_kalgoorlie_pegmatite_and_collar_layers_are_present</t>
  </si>
  <si>
    <t>CD4-056</t>
  </si>
  <si>
    <t>Independent filtering reproduced 257,967 positive soil Au values below 100 ppm, 373,776 R1 collars and quantile edges 0.000001, 0.0052, 0.012, 0.033, 2.0, 4.7 and 99.35 ppm. The two-panel PNG is readable and the quantile view avoids letting high values dominate the colour scale. The code comment says outlier clipping, but no additional clip occurs after the &lt;100 filter; 99.35 is simply the retained maximum. This wording issue does not invalidate the requested visual comparison. Evidence: test_cd4_questions.py::test_cd4_056_quantile_map_inputs_and_class_edges_are_reproducible (PASS).</t>
  </si>
  <si>
    <t>Retain the current Gold result under the recorded validation verdict. Document the recorded data-quality concern before using the result in downstream quantitative interpretation. Obtain geological or domain-expert review of the interpretation described in the qualification.</t>
  </si>
  <si>
    <t>test_cd4_questions.py::test_cd4_056_quantile_map_inputs_and_class_edges_are_reproducible</t>
  </si>
  <si>
    <t>NS1-021</t>
  </si>
  <si>
    <t>Independent WACHEM filtering reproduced all 202 rows above 0.1 ppm Au and their values. There are only 200 unique sample IDs because two IDs appear twice with different analytical values; the row-level answer is valid, but consumers should not interpret 202 rows as 202 unique samples. Evidence: test_ns1_questions.py::test_ns1_021_recomputes_wachem_gold_above_100_ppb (PASS).</t>
  </si>
  <si>
    <t>test_ns1_questions.py::test_ns1_021_recomputes_wachem_gold_above_100_ppb</t>
  </si>
  <si>
    <t>NS1-032</t>
  </si>
  <si>
    <t>All 5,407,653 soil rows have bi_ppm at the -9999 sentinel maximum, so no positive measured bismuth value exists. The empty CSV has the requested sample_id and bi_ppm schema and is correct, while also exposing complete absence of usable soil Bi data. Evidence: test_ns1_questions.py::test_ns1_032_empty_soil_bismuth_result_is_supported_by_data (PASS).</t>
  </si>
  <si>
    <t>test_ns1_questions.py::test_ns1_032_empty_soil_bismuth_result_is_supported_by_data</t>
  </si>
  <si>
    <t>NS2-018</t>
  </si>
  <si>
    <t>Independent date grouping reproduced all five yearly rows: 2002 52/617, 2003 255/592, 2004 325/689, 2005 312/812 and 2006 21/707. Only 965 of 40,581 groundwater rows have a sample_date, so the result is correct for dated analyses but has severe temporal coverage limitations. Evidence: test_ns2_questions.py::test_ns2_018_recomputes_yearly_groundwater_counts_and_tds_medians (PASS).</t>
  </si>
  <si>
    <t>test_ns2_questions.py::test_ns2_018_recomputes_yearly_groundwater_counts_and_tds_medians</t>
  </si>
  <si>
    <t>NS2-027</t>
  </si>
  <si>
    <t>Independent soil/assay joining produced 3,674,753 non-negative measured Au values, a continuous 95th percentile of 0.068 ppm and 183,412 rows strictly above it, matching Gold's row count and maximum 537,099.97 ppm. The extreme maximum and many very high values warrant source/unit review, but the stated percentile rule is correctly applied. Evidence: test_ns2_questions.py::test_ns2_027_recomputes_strict_top_five_percent_soil_gold_rule (PASS).</t>
  </si>
  <si>
    <t>test_ns2_questions.py::test_ns2_027_recomputes_strict_top_five_percent_soil_gold_rule</t>
  </si>
  <si>
    <t>NS2-041</t>
  </si>
  <si>
    <t>Independent grouping reproduced the four sample-type row counts and positive-value Al2O3/CaO medians. The n column is the total group row count, not the count with both oxide values usable; this is a clarity/data-coverage note, not a numerical mismatch. Evidence: test_ns2_questions.py::test_ns2_041_recomputes_major_oxide_medians_by_sample_type (PASS).</t>
  </si>
  <si>
    <t>test_ns2_questions.py::test_ns2_041_recomputes_major_oxide_medians_by_sample_type</t>
  </si>
  <si>
    <t>NS3-028</t>
  </si>
  <si>
    <t>Independent joining shows the maximum stream-sediment Au is 967 ppm, below the strict &gt;1,000 ppm threshold. The empty CSV and requested schema are therefore correct; the unusually high maximum remains a data-quality/unit-review note. Evidence: test_ns3_questions.py::test_ns3_028_empty_stream_sediment_result_is_supported_by_maximum (PASS).</t>
  </si>
  <si>
    <t>test_ns3_questions.py::test_ns3_028_empty_stream_sediment_result_is_supported_by_maximum</t>
  </si>
  <si>
    <t>NS3-029</t>
  </si>
  <si>
    <t>Gold explicitly exposes assumptions for an underspecified question: soil, surface assays, city-centre coordinate, three radii and three statistics. Independent projection and distance calculations reproduced 5 km n=0; 10 km n=1,307, mean 0.0188, median 0.014, p95 0.044; and 25 km n=34,467, mean 18.5071, median 0.009, p95 0.042. The extreme 25 km mean is dominated by outliers and should not be treated as typical. Evidence: test_ns3_questions.py::test_ns3_029_recomputes_three_disclosed_kalgoorlie_distance_summaries (PASS).</t>
  </si>
  <si>
    <t>test_ns3_questions.py::test_ns3_029_recomputes_three_disclosed_kalgoorlie_distance_summaries</t>
  </si>
  <si>
    <t>NS3-039</t>
  </si>
  <si>
    <t>All joined soil chromium values remain at the -9999 sentinel maximum, so there is no positive measured Cr value. The empty result is correct but records a complete data-availability gap for soil chromium. Evidence: test_ns3_questions.py::test_ns3_039_empty_soil_chromium_result_is_supported_by_data (PASS).</t>
  </si>
  <si>
    <t>test_ns3_questions.py::test_ns3_039_empty_soil_chromium_result_is_supported_by_data</t>
  </si>
  <si>
    <t>NS4-021</t>
  </si>
  <si>
    <t>Independent rock-chip joining and pairwise non-negative filtering reproduced all six usable-pair counts, correlations and ranks. Every rounded correlation is near zero (0.0000 to -0.0004), so the numerical ranking is valid but should not be interpreted as meaningful geological association without robust/outlier-aware analysis. Evidence: test_ns4_questions.py::test_ns4_021_recomputes_rock_chip_element_correlations_with_gold (PASS).</t>
  </si>
  <si>
    <t>test_ns4_questions.py::test_ns4_021_recomputes_rock_chip_element_correlations_with_gold</t>
  </si>
  <si>
    <t>NS4-027</t>
  </si>
  <si>
    <t>Independent rock-chip filtering reproduced 15,715 unique sample rows with raw Cu/Zn &gt;10 and the reported ratios (allowing the documented SQL versus pandas half-rounding difference at 0.01). Ratios up to 2,684,563.58 are driven by extremely small positive Zn values and require detection-limit/unit scrutiny. Evidence: test_ns4_questions.py::test_ns4_027_recomputes_rock_chip_copper_zinc_ratios (PASS).</t>
  </si>
  <si>
    <t>test_ns4_questions.py::test_ns4_027_recomputes_rock_chip_copper_zinc_ratios</t>
  </si>
  <si>
    <t>NS4-039</t>
  </si>
  <si>
    <t>Independent positive-pair filtering reproduced n=26,194, median Na 157 mg/L, median Cl 248 mg/L, median pairwise molar ratio 1.075 and 14,196 ratios between 1.0 and 1.35. The pairwise median is a valid defined statistic but differs from the ratio of marginal medians (about 1.024), so the definition must remain explicit. Evidence: test_ns4_questions.py::test_ns4_039_recomputes_groundwater_chloride_sodium_pairwise_ratio (PASS).</t>
  </si>
  <si>
    <t>test_ns4_questions.py::test_ns4_039_recomputes_groundwater_chloride_sodium_pairwise_ratio</t>
  </si>
  <si>
    <t>NS4-053</t>
  </si>
  <si>
    <t>The two rows are internally coherent: within the belt bounding rectangle, 1,700,173 inside and 1,635,870 outside samples pass the positive-value and &lt;100,000 filters; both median and geometric-mean Ni/Cu ratios are higher inside. The outside category means outside polygons but still inside the belts' total bounding rectangle, not statewide outside, and this scope should be disclosed. Evidence: test_ns4_questions.py::test_ns4_053_reports_both_inside_and_outside_ratio_summaries (PASS).</t>
  </si>
  <si>
    <t>test_ns4_questions.py::test_ns4_053_reports_both_inside_and_outside_ratio_summaries</t>
  </si>
  <si>
    <t>NS5-016</t>
  </si>
  <si>
    <t>Independent date parsing reproduced yearly counts 52, 255, 325, 312 and 21 for 2002-2006 and confirmed 965 dated rows. The bar-chart PNG is readable and explicitly states 965 dated of 40,581 total analyses, so the severe date missingness is visible rather than hidden. Evidence: test_ns5_questions.py::test_ns5_016_year_counts_support_readable_groundwater_bar_chart (PASS).</t>
  </si>
  <si>
    <t>test_ns5_questions.py::test_ns5_016_year_counts_support_readable_groundwater_bar_chart</t>
  </si>
  <si>
    <t>NS5-017</t>
  </si>
  <si>
    <t>The map-sheet and 7,516,543-sample inputs have compatible spatial structure, and the supplied choropleth PNG is readable, nonblank, uses a log-labelled colour scale and renders zero-sample sheets separately. The map counts UIDs after a global de-duplication across sheet overlaps, so boundary/overlap assignment remains a minor methodology caveat. Evidence: test_ns5_questions.py::test_ns5_017_choropleth_inputs_and_png_are_well_formed (PASS).</t>
  </si>
  <si>
    <t>test_ns5_questions.py::test_ns5_017_choropleth_inputs_and_png_are_well_formed</t>
  </si>
  <si>
    <t>NS5-027</t>
  </si>
  <si>
    <t>Independent bbox and positive-value filtering reproduced 66,943 soil samples, the 1st percentile 0.00001 ppm, 99.9th percentile 13 ppm and maximum 537,099.97 ppm. LogNorm uses the two percentiles for colour saturation, making spatial structure visible while extreme values remain in the data; the PNG is readable. Evidence: test_ns5_questions.py::test_ns5_027_kalgoorlie_log_map_quantiles_and_count_are_reproducible (PASS).</t>
  </si>
  <si>
    <t>test_ns5_questions.py::test_ns5_027_kalgoorlie_log_map_quantiles_and_count_are_reproducible</t>
  </si>
  <si>
    <t>NS5-028</t>
  </si>
  <si>
    <t>Because anomaly is undefined, Gold transparently presents P90, P95 and P99 sensitivity views rather than choosing one threshold. Independent calculation reproduced 94,431 positive stream-sediment values: P90 0.006 ppm with 9,988 rows, P95 0.026 with 4,758, and P99 1.2 with 949. The PNG is readable. Evidence: test_ns5_questions.py::test_ns5_028_stream_sediment_threshold_sensitivity_is_reproducible (PASS).</t>
  </si>
  <si>
    <t>test_ns5_questions.py::test_ns5_028_stream_sediment_threshold_sensitivity_is_reproducible</t>
  </si>
  <si>
    <t>NS5-036</t>
  </si>
  <si>
    <t>Independent complete-case filtering retained 18,387 WACHEM rows, and every chondrite-normalised median lies inside its P10-P90 envelope. The log-scale PNG is readable and names the complete-case n. The seven hard-coded chondrite constants are not sourced in the question/output, so provenance should be added. Evidence: test_ns5_questions.py::test_ns5_036_chondrite_normalised_ree_population_and_png_are_reproducible (PASS).</t>
  </si>
  <si>
    <t>test_ns5_questions.py::test_ns5_036_chondrite_normalised_ree_population_and_png_are_reproducible</t>
  </si>
  <si>
    <t>NS5-041</t>
  </si>
  <si>
    <t>Independent 0.02-degree histogramming reproduced 337,809 soil points, 1,616 occupied cells and every lower-left cell coordinate/count in NS5-041.csv. The requested degree-based grid is followed exactly, although cell areas vary with latitude and should not be read as equal-area density without qualification. Evidence: test_ns5_questions.py::test_ns5_041_recomputes_kalgoorlie_soil_density_grid (PASS).</t>
  </si>
  <si>
    <t>test_ns5_questions.py::test_ns5_041_recomputes_kalgoorlie_soil_density_grid</t>
  </si>
  <si>
    <t>NS5-047</t>
  </si>
  <si>
    <t>Independent complete-case filtering and log10 Pearson calculation reproduced all 25 long-format cells for 1,138,037 soil rows. The selected five elements and &lt;100,000 upper cutoff are not specified by the question, but they are visible in the Gold method and the table is internally complete and symmetric. Evidence: test_ns5_questions.py::test_ns5_047_recomputes_long_format_log_correlation_matrix (PASS).</t>
  </si>
  <si>
    <t>test_ns5_questions.py::test_ns5_047_recomputes_long_format_log_correlation_matrix</t>
  </si>
  <si>
    <t>NS5-053</t>
  </si>
  <si>
    <t>All 5,000 delivered rows satisfy 0&lt;Au&lt;100 and 0&lt;As&lt;100,000 and are drawn from an eligible pool of 2,118,301 soil pairs. However, USING SAMPLE has no seed and the CSV omits UID, so the exact sample cannot be rerun or traced to source rows; this is a reproducibility/provenance caveat rather than a filter error. Evidence: test_ns5_questions.py::test_ns5_053_random_scatter_sample_obeys_filters_but_has_no_provenance_key (PASS).</t>
  </si>
  <si>
    <t>test_ns5_questions.py::test_ns5_053_random_scatter_sample_obeys_filters_but_has_no_provenance_key</t>
  </si>
  <si>
    <t>CD2-031</t>
  </si>
  <si>
    <t>Pass with note: the supplied three-row classification is reproduced exactly. However, the code uses the identical nearest-join-then-drop_duplicates('uid') pattern already CONFIRMED unstable in CD1-026 within this same assigned set, reading the joined hole_ni attribute of whichever tied maxgrade point survives the drop_duplicates call, with no documented tie-break rule. This rerun happened to match, which suggests either no ties exist among drillhole_maxgrade points within 1 km in this smaller box, or any ties do not cross the &gt;1% Ni classification threshold — neither has been independently confirmed.</t>
  </si>
  <si>
    <t>Apply the same deterministic tie-break fix recommended for CD1-026 to this query's code as well, even though its rerun currently matches.</t>
  </si>
  <si>
    <t>CD2-031.csv</t>
  </si>
  <si>
    <t>CD4-029</t>
  </si>
  <si>
    <t>Pass with note: the code is fully reproducible (supplied and rerun images are structurally identical), but the question's explicit requirement that 'both layers stay readable' is not met. GeoPandas' .cx[BBOX] selection returns whole greenstone-belt geometries whose bounding box merely touches the Kalgoorlie box, unclipped; several belts extend far beyond it, so ax.set_aspect('equal') autoscales to a near-statewide extent and the drill-hole scatter (genuinely confined to the small box) is compressed into an illegible corner cluster.</t>
  </si>
  <si>
    <t>Clip belts.geometry to the BBOX polygon (e.g. gpd.clip) before plotting, or set explicit ax.set_xlim/ax.set_ylim to the BBOX so the drilling layer is not dwarfed by unclipped belt geometry.</t>
  </si>
  <si>
    <t>CD4-029.png</t>
  </si>
  <si>
    <t>NS1-026</t>
  </si>
  <si>
    <t>Pass with note: the rerun reproduces the supplied 20-row result exactly (Au &gt; 10,000 ppm correctly implements 'above 1 percent'). However, the question says 'List the soil samples...' with no stated cap, while the SQL adds ORDER BY au_ppm DESC LIMIT 20. This question is tagged R-premise, plausibly testing whether the true qualifying count at this very high threshold is disclosed; the query does not also report a total count, so it cannot be told from the output alone whether 20 is the true total or a truncation.</t>
  </si>
  <si>
    <t>Either state the top-20 restriction explicitly in the question, or remove the LIMIT and/or report the total qualifying count alongside the top rows.</t>
  </si>
  <si>
    <t>NS1-026.csv</t>
  </si>
  <si>
    <t>NS4-046</t>
  </si>
  <si>
    <t>Pass with note: the rerun reproduces the supplied 15-row result exactly, and the z-score-of-log10 multi-element score is a reasonable, R-shortcut-aware combination of Au/As/Cu (with rank_by_naive_sum reported for comparison). However, the code restricts each element to 0 &lt; value &lt; 100,000 ppm and additionally restricts Au to &lt; 100 ppm before scoring; neither upper cutoff is stated in the question.</t>
  </si>
  <si>
    <t>Document or justify the &lt;100,000 ppm and Au &lt;100 ppm validity cutoffs, or remove them if all measured values are intended to be considered.</t>
  </si>
  <si>
    <t>NS4-046.csv</t>
  </si>
  <si>
    <t>NS5-031</t>
  </si>
  <si>
    <t>Pass with note: the code is fully reproducible (supplied and rerun images are structurally identical), but the plot does not achieve the question's comparison goal. np.logspace(...) bins are combined with ax.hist(..., density=True) normalised by linear bin width; the first log-spaced bin has an extremely small linear width near the data minimum, driving its density to roughly 400,000 in both images while the rock_chip and stream_sed series are compressed to a near-invisible line. The three media's distribution shapes cannot be visually compared as asked.</t>
  </si>
  <si>
    <t>Normalise by log-bin-width (e.g. plot log10(Au) on a linear-binned density axis) instead of using density=True directly with log-spaced bins.</t>
  </si>
  <si>
    <t>NS5-031.png</t>
  </si>
  <si>
    <t>CD2-033</t>
  </si>
  <si>
    <t>Validated refusal</t>
  </si>
  <si>
    <t>Validated</t>
  </si>
  <si>
    <t>Schema check found no reserve/resource estimate fields in supplied mineral_site schema.</t>
  </si>
  <si>
    <t>Decline reserve tonnes/grade and explain data limitation.</t>
  </si>
  <si>
    <t>50 queries</t>
  </si>
  <si>
    <t>Independent rerun coverage</t>
  </si>
  <si>
    <t>Allocation workbook has natural-language questions and method labels; no runnable query implementation was available for these items.</t>
  </si>
  <si>
    <t>Gold assets and CSV row counts checked; results not independently regenerated.</t>
  </si>
  <si>
    <t>All 70 queries</t>
  </si>
  <si>
    <t>Gold asset / row audit</t>
  </si>
  <si>
    <t>Checked</t>
  </si>
  <si>
    <t>All 70 reference files present. All 54 CSV files match Expected Rows; remaining outputs are 15 PNGs and one refusal text file.</t>
  </si>
  <si>
    <t>Asset and count validation does not establish correctness for reference-only items.</t>
  </si>
  <si>
    <t>19 reruns</t>
  </si>
  <si>
    <t>Comparison method</t>
  </si>
  <si>
    <t>Completed</t>
  </si>
  <si>
    <t>Compared independent output to supplied gold, ignoring row order and applying reference display precision where applicable.</t>
  </si>
  <si>
    <t>17 matches and 2 mismatches.</t>
  </si>
  <si>
    <t>Chaitanya only</t>
  </si>
  <si>
    <t>Scope control</t>
  </si>
  <si>
    <t>Applied</t>
  </si>
  <si>
    <t>This report includes only Chaitanya’s 70 allocated questions.</t>
  </si>
  <si>
    <t>Attached example was used only as a layout reference.</t>
  </si>
  <si>
    <t>NS1-036</t>
  </si>
  <si>
    <t>Pass with note: all values answering the question match, including the naive maximum (760,000 ppm), 3,431 values at or above 100 ppm, and the plausible maximum (100 ppm). Only worst_report differs because two reports tie at 397 samples with a 2,000 ppm median and the code has no deterministic tie-breaker.</t>
  </si>
  <si>
    <t>Agree a deterministic secondary sort or return all tied reports. The report identifier does not match exactly.</t>
  </si>
  <si>
    <t>NS1-036.csv</t>
  </si>
  <si>
    <t>NS2-044</t>
  </si>
  <si>
    <t>Pass with note: the three-row diagnostic is reproduced. The unfiltered mean (-4,514.0 ppm) is intentionally shown to demonstrate sentinel contamination; the positive-only mean is 95.4 ppm and the additional &lt;100,000 ppm plausibility filter gives 85.0 ppm. No raw sentinel is returned in the result table.</t>
  </si>
  <si>
    <t>Label the unfiltered mean as a diagnostic. Agree the cleaning rule before presenting one mean as the scientific result.</t>
  </si>
  <si>
    <t>NS2-044.csv</t>
  </si>
  <si>
    <t>CD1-034</t>
  </si>
  <si>
    <t>Pass with note: the supplied three-row diagnostic result is reproduced exactly. The query correctly distinguishes the Mn commodity code from Mnz (monazite), avoiding the invalid substring match. There are 589 exact-Mn records and 93 records where Mn is one of several primary commodities, giving 682 records containing Mn as a primary commodity. The gold output reports these components separately rather than explicitly returning the combined total requested by the question.</t>
  </si>
  <si>
    <t>Consider reporting the combined Mn total (682) explicitly while retaining the diagnostic rows to demonstrate why substring matching (%Mn%) is invalid.</t>
  </si>
  <si>
    <t>CD1-034.csv</t>
  </si>
  <si>
    <t>CD1-040</t>
  </si>
  <si>
    <t>Pass with note: the expected empty result is reproduced and the anti-join correctly tests the R-premise. However, surface-sample presence is evaluated only within longitude 118–123 and latitude -35–-22, while the question says “no surface samples at all”.</t>
  </si>
  <si>
    <t>Confirm that the bounding box represents the complete intended surface-sample coverage for the relevant map sheets; otherwise remove the coordinate filter when testing whether a sheet has no surface samples at all.</t>
  </si>
  <si>
    <t>CD1-040.csv</t>
  </si>
  <si>
    <t>CD4-038</t>
  </si>
  <si>
    <t>Pass with note: the 0.1-degree cell aggregation is reproduced correctly, but the supplied SQL returns only cells with at least 50 records and limits the result to the top 20 by maximum soil Au, whereas the question literally asks for each cell in the Kalgoorlie box. Tied maximum-Au values can also produce non-deterministic relative ordering.</t>
  </si>
  <si>
    <t>Consider stating the ≥50-sample and top-20 criteria explicitly in the question, or remove HAVING count(*) &gt;= 50 and LIMIT 20 if all populated cells are intended. Add a secondary cell-coordinate tie-breaker if deterministic ordering is required.</t>
  </si>
  <si>
    <t>CD4-038.csv</t>
  </si>
  <si>
    <t>CD4-053</t>
  </si>
  <si>
    <t>Pass with note: the supplied result is reproduced exactly and the recorded and computed palaeovalley areas are consistent. However, the query returns only the 20 largest palaeovalleys by computed area even though the question does not state a top-20 restriction, and the output does not include polygon geometry despite referring to plot-ready outlines.</t>
  </si>
  <si>
    <t>Clarify the question as requesting the 20 largest palaeovalleys if that is intended. If the output is intended to be directly map-ready, include the palaeovalley geometry (or explicitly state that pv_id is to be joined back to the spatial layer).</t>
  </si>
  <si>
    <t>CD4-053.csv</t>
  </si>
  <si>
    <t>NS1-025</t>
  </si>
  <si>
    <t>Pass with note: the R-para threshold is correctly interpreted as Au &gt;0.1 ppm and all qualifying soil samples are returned. However, the As field contains many negative/sentinel-coded values, including 43,611 occurrences of -9999, 4 of -999 and 163 of -99. These do not invalidate the query because the question does not require valid As measurements only.</t>
  </si>
  <si>
    <t>Retain all qualifying Au samples for this question, but treat the negative/sentinel-coded As values as unavailable or invalid if the arsenic values are used in subsequent quantitative analysis. Confirm the dataset metadata before treating the Au value 999 ppm as a sentinel.</t>
  </si>
  <si>
    <t>NS1-025.csv</t>
  </si>
  <si>
    <t>NS1-046</t>
  </si>
  <si>
    <t>Pass with note: the quartz-veining text search and rock-name aggregation are reproduced correctly, but the supplied SQL returns only the 15 most frequent rock-name categories although the question does not explicitly request a top-15 result. The 20-character proximity window is also an operational text-search definition, and tied mention counts can produce non-deterministic relative ordering.</t>
  </si>
  <si>
    <t>State the top-15 criterion explicitly if only the most frequent rock names are intended; otherwise remove LIMIT 15. If deterministic ordering is required, add rock_name as a secondary ORDER BY key. The 20-character quartz/vein proximity rule could also be documented as the intended text-search criterion.</t>
  </si>
  <si>
    <t>NS1-046.csv</t>
  </si>
  <si>
    <t>NS2-043</t>
  </si>
  <si>
    <t>Pass with note: the rock-type frequency ranking is reproduced correctly and the additional geologist-count and concentration diagnostics appropriately address the R-shortcut risk. However, the supplied SQL returns only the 15 most frequently recorded rock types although the question does not explicitly specify a top-15 restriction.</t>
  </si>
  <si>
    <t>State explicitly that the question requests the top 15 most frequently recorded rock types, or remove LIMIT 15 if all recorded rock types are intended. Retain the geologist-concentration diagnostics because observation frequency should not be interpreted directly as geological abundance.</t>
  </si>
  <si>
    <t>NS2-043.csv</t>
  </si>
  <si>
    <t>NS3-042</t>
  </si>
  <si>
    <t>Pass with note: the spatial aggregation and median-Au ranking are reproduced correctly, but the SQL restricts samples to longitude 120.5–122.5 and latitude -32.0–-28.5 although the question does not state this geographic restriction. The ≥5,000 threshold is also evaluated after the assay join and valid-Au filtering. Rows with tied rounded median values may appear in different relative order.</t>
  </si>
  <si>
    <t>Clarify the geographic bounding box in the question if it is intentional; otherwise compare all map sheets. If “at least 5000 soil samples” refers to all soil samples regardless of Au availability, determine eligibility before filtering valid Au assays. Add a secondary map-sheet tie-breaker if deterministic ordering is required.</t>
  </si>
  <si>
    <t>NS3-042.csv</t>
  </si>
  <si>
    <t>CD1-027</t>
  </si>
  <si>
    <t>Pass with note: For nearest drill holes with no intercept satisfying the 4 m minimum, 0.5 g/t cutoff and 2 m dilution criteria, the supplied result represents the absence of a qualifying intercept as best_grade_gpt = 0.00 and best_length_m = 0.00 rather than as a missing/not-found value.</t>
  </si>
  <si>
    <t>Consider representing cases with no qualifying significant intercept as NULL/NA or explicitly labelling them as "no qualifying intercept" to distinguish absence from an actual zero-grade intercept.</t>
  </si>
  <si>
    <t>CD1-027.csv</t>
  </si>
  <si>
    <t>CD2-019</t>
  </si>
  <si>
    <t>Pass with note: The comparison represents each drill hole by the lithology code of its single longest logged interval. This is a reasonable operational definition, but the question does not explicitly define how multiple lithology intervals in a hole should be reduced to one lithology. The nearest-hole step also does not explicitly resolve equally-nearest-hole ties.</t>
  </si>
  <si>
    <t>Document the intended drill-hole lithology definition; if dominant lithology is intended, consider aggregating interval thickness by lith_code before selecting the representative lithology. A deterministic tie policy should also be used if equally-nearest holes occur.</t>
  </si>
  <si>
    <t>CD2-019.csv</t>
  </si>
  <si>
    <t>CD4-054</t>
  </si>
  <si>
    <t>Pass with note: The overlap-area and percentage calculations are spatially correct, but the source data contain 24 distinct greenstone-belt tect_name values and the gold code returns only the 15 belts with the highest pct_covered using head(15), although the question asks for coverage of "each greenstone belt".</t>
  </si>
  <si>
    <t>Either remove the unstated head(15) restriction and report all 24 belts, including zero-overlap belts, or revise the question to explicitly request the 15 greenstone belts with the highest palaeovalley coverage.</t>
  </si>
  <si>
    <t>CD4-054.csv</t>
  </si>
  <si>
    <t>NS2-047</t>
  </si>
  <si>
    <t>Pass with note: The R-shortcut answer appropriately contrasts the sample-weighted mean with median and 5 km cell-based summaries, but it applies an unstated 0 &lt; Au &lt; 100 ppm filter, so the reported statistics do not include measured soil Au values at or above 100 ppm. Also, the field labelled area_weighted_mean_of_cell_medians is the equal-weight mean of medians for sampled 5 km cells rather than a strict area-weighted statistic over the entire region.</t>
  </si>
  <si>
    <t>Document or justify the &lt;100 ppm Au cutoff, or remove it if all valid measured soil Au values are intended. Consider renaming the cell-based statistic to clarify that it is an equal-weight mean of sampled-cell medians.</t>
  </si>
  <si>
    <t>NS2-047.csv</t>
  </si>
  <si>
    <t>NS3-030</t>
  </si>
  <si>
    <t>Pass with note: The R-ambig answer appropriately tests three anomaly thresholds and all give a strongly clustered result. However, the random nearest-neighbour expectation uses the rectangular total_bounds of each anomaly subset as the study area, so the numerical NN indices depend on an implicit study-area definition and do not account explicitly for boundary effects. The analysis also applies an unstated 0 &lt; Mn &lt; 500,000 ppm validity filter.</t>
  </si>
  <si>
    <t>Document the Mn validity cutoff and the study-area assumption used for the nearest-neighbour index. For a more rigorous spatial test, use a fixed, justified sampling/study-area polygon and consider an edge-corrected or simulation-based random spatial baseline.</t>
  </si>
  <si>
    <t>NS3-030.csv</t>
  </si>
  <si>
    <t>NS3-034</t>
  </si>
  <si>
    <t>Pass with note: Stream-sediment samples are correctly spatially joined to greenstone polygons and ranked by tect_name, but the counts use spatial-join row counts rather than distinct sample uid counts. If polygons sharing the same tect_name overlap, an individual sample could be counted more than once for that belt.</t>
  </si>
  <si>
    <t>Confirm that no uid occurs more than once within the same tect_name after the spatial join, or count distinct uid values per tect_name to make the intended sample count robust to overlapping polygons.</t>
  </si>
  <si>
    <t>NS3-034.csv</t>
  </si>
  <si>
    <t>NS4-044</t>
  </si>
  <si>
    <t>Pass with note: The 5 km cell construction and Au-versus-As ranking comparison are methodologically appropriate, but both rankings are derived only from samples with simultaneously positive Au and As values. The analysis also applies unstated Au &lt; 100 ppm and As &lt; 100,000 ppm validity cutoffs and excludes cells with fewer than 20 paired samples. Consequently, the reported spatial association describes a restricted common-valid sample population rather than independently using all valid Au and As measurements.</t>
  </si>
  <si>
    <t>Document the paired-sample requirement, upper validity cutoffs and minimum 20-sample cell threshold. If the intended comparison is between independently defined Au and As anomaly patterns, calculate each element's cell statistic from its own valid measurements and then compare rankings for comparable cells.</t>
  </si>
  <si>
    <t>NS4-044.csv</t>
  </si>
  <si>
    <t>NS5-045</t>
  </si>
  <si>
    <t>Pass with note: The projected-distance and along-transect calculations correctly identify samples within 2 km of the implemented east-west transect, but the transect is implicitly limited to longitude 121.4–121.9 even though these endpoints are not specified in the question. The analysis also applies an unstated 0 &lt; Au &lt; 100 ppm validity filter.</t>
  </si>
  <si>
    <t>State the longitude endpoints of the transect in the question or document why 121.4–121.9 defines the intended profile extent, and document or justify the Au validity cutoff.</t>
  </si>
  <si>
    <t>NS5-045.csv</t>
  </si>
  <si>
    <t>CD2-053</t>
  </si>
  <si>
    <t>Pass with note: The four small-multiple distributions are consistently constructed with shared logarithmic bins, density normalization and axes, but surface regions are defined by coordinate boxes while drill-hole regions use the collar region field, without explicitly verifying that these definitions are spatially equivalent. The analysis also applies an unstated 0 &lt; Au &lt; 100 ppm filter and suppresses any distribution containing 50 or fewer observations; consequently a sparse series may appear absent rather than explicitly identified as having limited data.</t>
  </si>
  <si>
    <t>Confirm that the four collar region labels correspond to the stated surface coordinate boxes, document the Au validity range, and explicitly label panels where a surface or drill-hole distribution is omitted because n &lt;= 50 rather than leaving the series absent from the plot.</t>
  </si>
  <si>
    <t>CD2-053.png</t>
  </si>
  <si>
    <t>NS4-037</t>
  </si>
  <si>
    <t>Pass with note: The log-log soil Ni-Co scatter correctly shows the requested association and appropriately excludes non-positive values, but the gold code additionally excludes Ni and Co values at or above 100,000 ppm even though this upper cutoff is not specified in the question.</t>
  </si>
  <si>
    <t>Document or justify the &lt;100,000 ppm upper filters, or remove them if all positive measured Ni and Co values are intended. The deterministic 60,000-point subsampling can be retained as a reasonable plotting optimisation.</t>
  </si>
  <si>
    <t>NS4-037.png</t>
  </si>
  <si>
    <t>NS5-030</t>
  </si>
  <si>
    <t>Pass with note: The histogram and logarithmic x-axis are appropriate, but the gold code applies an unstated au_ppm &lt; 100 cutoff, so values at or above 100 ppm are excluded from the displayed soil-gold distribution.</t>
  </si>
  <si>
    <t>Remove the &lt;100 ppm cutoff if the complete positive soil Au distribution is intended, or explicitly state the &lt;100 ppm restriction in the question.</t>
  </si>
  <si>
    <t>NS5-030.png</t>
  </si>
  <si>
    <t>Domain / Category</t>
  </si>
  <si>
    <t>Difficulty</t>
  </si>
  <si>
    <t>Expected Rows</t>
  </si>
  <si>
    <t>Reference / Supplied Result</t>
  </si>
  <si>
    <t>Verification Result</t>
  </si>
  <si>
    <t>Reference / Supplied Rows</t>
  </si>
  <si>
    <t>Verification Rows</t>
  </si>
  <si>
    <t>Row Count / Expected Rows Check</t>
  </si>
  <si>
    <t>Column / Schema Check</t>
  </si>
  <si>
    <t>Value / Result Match</t>
  </si>
  <si>
    <t>Duplicate Rows</t>
  </si>
  <si>
    <t>Missing Cells</t>
  </si>
  <si>
    <t>Negative Numeric Cells</t>
  </si>
  <si>
    <t>Negative Values by Column</t>
  </si>
  <si>
    <t>Sentinel Check</t>
  </si>
  <si>
    <t>Executable / File Present</t>
  </si>
  <si>
    <t>Supplied Query Runs</t>
  </si>
  <si>
    <t>Unit Check</t>
  </si>
  <si>
    <t>CRS Check</t>
  </si>
  <si>
    <t>Domain Check</t>
  </si>
  <si>
    <t>Logic Check</t>
  </si>
  <si>
    <t>Gold Valid</t>
  </si>
  <si>
    <t>Output / Visualisation Match</t>
  </si>
  <si>
    <t>Tables, Fields and Joins</t>
  </si>
  <si>
    <t>Spatial / Domain Correctness</t>
  </si>
  <si>
    <t>Data Quality Concern</t>
  </si>
  <si>
    <t>Geological Expert Review</t>
  </si>
  <si>
    <t>Overall / Review Outcome</t>
  </si>
  <si>
    <t>Requires Client Clarification</t>
  </si>
  <si>
    <t>Independent Rerun</t>
  </si>
  <si>
    <t>Rerun Comparison</t>
  </si>
  <si>
    <t>Rerun Summary</t>
  </si>
  <si>
    <t>Finding / Corrected Result</t>
  </si>
  <si>
    <t>Evidence Test</t>
  </si>
  <si>
    <t>Decisive Evidence / Reviewer Justification</t>
  </si>
  <si>
    <t>Chinese Notes</t>
  </si>
  <si>
    <t>Gold Runtime (s)</t>
  </si>
  <si>
    <t>CD1-021</t>
  </si>
  <si>
    <t>CD</t>
  </si>
  <si>
    <t>hard</t>
  </si>
  <si>
    <t>Count soil samples within 1 km of a drill hole, building sample points from the stored geometry column rather than the longitude/latitude fields.</t>
  </si>
  <si>
    <t>CD1-021.csv</t>
  </si>
  <si>
    <t>Yes</t>
  </si>
  <si>
    <t>N/A</t>
  </si>
  <si>
    <t>No</t>
  </si>
  <si>
    <t>test_cd1_questions.py::test_cd1_021_counts_soil_points_within_one_kilometre_from_stored_geometry</t>
  </si>
  <si>
    <t>An independent chunked KD-tree calculation parsed the stored GeoParquet geometry column, projected both datasets to EPSG:9473 and queried the nearest of 1,836,002 hole points without using longitude/latitude to construct soil points. It reproduced 5,407,653 soil samples and 2,717,170 unique soils within 1,000 m of a drill hole. Evidence: test_cd1_questions.py::test_cd1_021_counts_soil_points_within_one_kilometre_from_stored_geometry (PASS).</t>
  </si>
  <si>
    <t>使用存储 geometry、EPSG:9473 和分块 KD-tree 独立重算，5,407,653 个土壤样品中 2,717,170 个位于钻孔 1 km 内，与 Gold 一致。</t>
  </si>
  <si>
    <t>CD1-022.csv</t>
  </si>
  <si>
    <t>test_cd1_questions.py::test_cd1_022_counts_unique_samples_within_each_sheet</t>
  </si>
  <si>
    <t>图幅面积、钻孔数和排名正确，但 Gold 在所有图幅连接后全局去重 UID，导致重叠区域中 WIDGIEMOOLTHA 任意少计 4 个地表样品（409,277 而非 409,281）。</t>
  </si>
  <si>
    <t>CD1-030.csv</t>
  </si>
  <si>
    <t>test_cd1_questions.py::test_cd1_030_sql_version_uses_same_drilling_population_as_cd1_022</t>
  </si>
  <si>
    <t>当前 CSV 可复现，但作为 CD1-022 的 SQL 版却从 1,836,002 个全州 maxgrade 钻孔换成 604,294 个四区域 collar，排名和密度明显不同，题目未说明范围变化。</t>
  </si>
  <si>
    <t>CD1-032</t>
  </si>
  <si>
    <t>medium</t>
  </si>
  <si>
    <t>Using the per-hole maximum grade layer, how many drill holes reached at least 1 g/t gold?</t>
  </si>
  <si>
    <t>CD1-032.csv</t>
  </si>
  <si>
    <t>test_cd1_questions.py::test_cd1_032_counts_unique_per_hole_maximum_gold_rows</t>
  </si>
  <si>
    <t>The per-hole maximum-grade layer contains 1,836,002 unique hole_ref rows, so count(*) has hole semantics. Independent filtering at au_ppm &gt;= 1 reproduced 248,754 qualifying holes and CD1-032.csv. Evidence: test_cd1_questions.py::test_cd1_032_counts_unique_per_hole_maximum_gold_rows (PASS).</t>
  </si>
  <si>
    <t>每孔最高品位层的 hole_ref 唯一；独立筛选 au_ppm &gt;= 1 得到 248,754 个钻孔，与 Gold 一致。</t>
  </si>
  <si>
    <t>CD1-041.csv</t>
  </si>
  <si>
    <t>test_cd1_questions.py::test_cd1_041_output_includes_requested_median</t>
  </si>
  <si>
    <t>最孤立的 10 个矿点可复现，但题目要求的最近钻孔距离中位数 61.624 m 在 Gold SQL 和 CSV 中完全缺失。</t>
  </si>
  <si>
    <t>CD1-042</t>
  </si>
  <si>
    <t>easy</t>
  </si>
  <si>
    <t>How many hydrogeochemistry (groundwater) sites are there, and how many of them sit inside a region that has drilling?</t>
  </si>
  <si>
    <t>CD1-042.csv</t>
  </si>
  <si>
    <t>test_cd1_questions.py::test_cd1_042_counts_groundwater_sites_inside_four_drilled_regions</t>
  </si>
  <si>
    <t>Independent geometry-coordinate membership checks reproduced 40,581 groundwater sites in total and 973 strictly inside the union of the four drilled-region boxes. Schema and bucket labels matched CD1-042.csv. Evidence: test_cd1_questions.py::test_cd1_042_counts_groundwater_sites_inside_four_drilled_regions (PASS).</t>
  </si>
  <si>
    <t>独立空间判断得到地下水点总数 40,581，其中 973 个严格位于四个钻探区域框内，与 Gold 一致。</t>
  </si>
  <si>
    <t>Draw a map of the Kambalda box showing surface samples and drill collars as two layers.</t>
  </si>
  <si>
    <t>CD1-045.png</t>
  </si>
  <si>
    <t>Pass with caveat</t>
  </si>
  <si>
    <t>Pass with note</t>
  </si>
  <si>
    <t>Kambalda 框内 14,841 个地表样品和 28,421 个孔口，两层、图例和非空 PNG 均通过；经纬度 equal aspect 仅是近似比例。</t>
  </si>
  <si>
    <t>CD1-054</t>
  </si>
  <si>
    <t>Draw a proportional symbol map of drilling intensity per 5 km cell in the Kalgoorlie box, with symbol area scaled to hole count.</t>
  </si>
  <si>
    <t>CD1-054.png</t>
  </si>
  <si>
    <t>test_cd1_questions.py::test_cd1_054_uses_symbol_area_proportional_to_five_km_cell_count</t>
  </si>
  <si>
    <t>Independent reconstruction projected all 373,776 R1 collars to EPSG:7851, produced 511 five-kilometre cells and confirmed symbol area s is linearly proportional to hole count. The three reference legend counts are 284, 1,734 and 10,225 holes; equal aspect and the readable nonblank Gold PNG passed. Evidence: test_cd1_questions.py::test_cd1_054_uses_symbol_area_proportional_to_five_km_cell_count (PASS).</t>
  </si>
  <si>
    <t>373,776 个 R1 钻孔形成 511 个 5 km 网格；符号面积与孔数线性成正比，分级图例与 PNG 均通过。</t>
  </si>
  <si>
    <t>CD2-020</t>
  </si>
  <si>
    <t>Python</t>
  </si>
  <si>
    <t>Compare sulfur levels between surface and subsurface data. Careful: the two databases store sulfur in different units.</t>
  </si>
  <si>
    <t>CD2-020.csv</t>
  </si>
  <si>
    <t>test_cd2_questions.py::test_cd2_020_recomputes_sulfur_in_common_ppm_units</t>
  </si>
  <si>
    <t>Independent DuckDB recomputation retained non-negative sulfur values as documented, converted surface s_pct to ppm using 1 pct = 10,000 ppm, and reproduced both Gold rows. Surface: n=1,007,378, median=238.0 ppm, p95=2,523.5 ppm. Subsurface: n=2,016,020, median=500.0 ppm, p95=109,900.0 ppm. Schema, row count, units, sentinel handling and values matched CD2-020.csv. Evidence: test_cd2_questions.py::test_cd2_020_recomputes_sulfur_in_common_ppm_units (PASS).</t>
  </si>
  <si>
    <t>独立重算与 Gold 完全一致；正确保留零值、排除负哨兵，并将地表硫从百分比换算为 ppm。</t>
  </si>
  <si>
    <t>Report-level footprint: for the ten WAMEX reports that contributed the most surface samples, how many drill holes does each also contribute?</t>
  </si>
  <si>
    <t>CD2-023.csv</t>
  </si>
  <si>
    <t>结果匹配；LEFT JOIN 正确保留 9 个无钻孔记录的高地表采样报告，但这仍是跨数据集覆盖或谱系问题。</t>
  </si>
  <si>
    <t>Are nickel anomalies consistent across scales? Within the Kambalda box (lon 121.5-121.8, lat -31.3 to -31.1), compare the share of soil samples above 500 ppm Ni against the share of holes whose maximum downhole Ni exceeds 5000 ppm.</t>
  </si>
  <si>
    <t>CD2-024.csv</t>
  </si>
  <si>
    <t>结果匹配且空间、CRS、阈值均正确；但两侧介质、阈值和分母不同，不能仅凭两个百分比直接判定地质上一致。</t>
  </si>
  <si>
    <t>CD2-035</t>
  </si>
  <si>
    <t>For each region, compare how many surface samples and how many drill holes fall inside it, and give the ratio.</t>
  </si>
  <si>
    <t>CD2-035.csv</t>
  </si>
  <si>
    <t>test_cd2_questions.py::test_cd2_035_recomputes_surface_per_hole_by_region</t>
  </si>
  <si>
    <t>Independent bounding-box counts reproduced all four region rows and verified that collar row counts equal distinct hole_id counts. The reported surface-per-hole direction and rounded ratios matched CD2-035.csv: R4 64,514/37,198=1.73; R2 208,366/135,888=1.53; R1 534,994/373,776=1.43; R3 1,302/57,432=0.02. Evidence: test_cd2_questions.py::test_cd2_035_recomputes_surface_per_hole_by_region (PASS).</t>
  </si>
  <si>
    <t>四个区域的地表样品数、唯一钻孔数及 surface/hole 比值均与 Gold 一致。</t>
  </si>
  <si>
    <t>CD2-036.csv</t>
  </si>
  <si>
    <t>test_cd2_questions.py::test_cd2_036_usable_counts_follow_documented_nonnegative_rule</t>
  </si>
  <si>
    <t>Gold 可复现，但错误排除了合法零值：地表少计 139,109，钻孔少计 18,596；因此可用值数量不符合数据说明，Gold Valid=No。</t>
  </si>
  <si>
    <t>CD2-043.csv</t>
  </si>
  <si>
    <t>test_cd2_questions.py::test_cd2_043_subsurface_native_unit_is_reported_in_ppm
test_cd2_questions.py::test_cd2_043_counts_follow_documented_nonnegative_rule</t>
  </si>
  <si>
    <t>Gold 可复现但有两项明确错误：排除了两侧合法零值；地下硫原生单位应为 ppm，median_native_unit 应为 500，而不是换算后的 0.05%。</t>
  </si>
  <si>
    <t>CD3-017</t>
  </si>
  <si>
    <t>Which named basins contain no drill holes at all? List the ten with the largest mapped extent.</t>
  </si>
  <si>
    <t>CD3-017.csv</t>
  </si>
  <si>
    <t>test_cd3_questions.py::test_cd3_017_recomputes_largest_named_basins_without_maxgrade_holes</t>
  </si>
  <si>
    <t>Independent polygon dissolution and EPSG:9473 spatial membership checks found 191 named basins, of which 82 contain no statewide maxgrade hole. The ten largest undrilled basins and rounded areas reproduced CD3-017.csv. Evidence: test_cd3_questions.py::test_cd3_017_recomputes_largest_named_basins_without_maxgrade_holes (PASS).</t>
  </si>
  <si>
    <t>独立重算得到 191 个具名盆地、82 个无全州 maxgrade 钻孔；面积最大的十个与 Gold 一致。</t>
  </si>
  <si>
    <t>Rank undrilled gold targets by a composite score: soil samples above 100 ppb Au with no hole within 2 km, scored by the product of their gold percentile rank and their arsenic percentile rank. List the top ten.</t>
  </si>
  <si>
    <t>CD3-021.csv</t>
  </si>
  <si>
    <t>113,434 个异常、36,787 个未钻靶点和前十结果均可复现；但前十实际是五组重复坐标，需记录数据质量说明。</t>
  </si>
  <si>
    <t>CD3-023</t>
  </si>
  <si>
    <t>Are there any operating mine sites with no drilling recorded within 2 km? Answer yes or no, with the count and a few examples.</t>
  </si>
  <si>
    <t>CD3-023.csv</t>
  </si>
  <si>
    <t>test_cd3_questions.py::test_cd3_023_recomputes_operating_sites_without_nearby_maxgrade_holes</t>
  </si>
  <si>
    <t>Independent EPSG:9473 nearest-neighbour search over 86 operating sites found exactly one site beyond 2 km from the statewide maxgrade holes: Cooljarloo 27000 East at 3,486.28 m. Answer, count, example and schema matched CD3-023.csv. Evidence: test_cd3_questions.py::test_cd3_023_recomputes_operating_sites_without_nearby_maxgrade_holes (PASS).</t>
  </si>
  <si>
    <t>86 个在营矿点中仅 Cooljarloo 27000 East 距最近钻孔超过 2 km（3,486.28 m），与 Gold 一致。</t>
  </si>
  <si>
    <t>CD3-026.csv</t>
  </si>
  <si>
    <t>test_cd3_questions.py::test_cd3_026_nearest_tie_cannot_change_intercept_classification</t>
  </si>
  <si>
    <t>最近孔存在三孔同距并列；Gold 任意选中无化验孔，而同距的 4117539 有合格见矿段，因此“未解释”分类会随连接顺序改变，Gold Valid=No。</t>
  </si>
  <si>
    <t>CD3-037.csv</t>
  </si>
  <si>
    <t>test_cd3_questions.py::test_cd3_037_gold_is_the_true_top_ten_by_nearest_hole_distance</t>
  </si>
  <si>
    <t>精确最近邻显示 793 个金矿点超过 2 km，其中 786 个超过 20 km；Gold 的 20 km 预筛把最偏远者全部删除，只返回 7 条，排名错误。</t>
  </si>
  <si>
    <t>CD3-038.csv</t>
  </si>
  <si>
    <t>test_cd3_questions.py::test_cd3_038_no_hole_at_all_uses_statewide_drillhole_source</t>
  </si>
  <si>
    <t>Gold 仅用四区域 collar 得到 40 个已钻伟晶岩；全州 maxgrade 显示 100 个已钻、1,784 个未钻。“完全无钻孔”不应静默缩小数据源。</t>
  </si>
  <si>
    <t>CD3-047.csv</t>
  </si>
  <si>
    <t>test_cd3_questions.py::test_cd3_047_includes_sampled_undrilled_basins_outside_hidden_bbox</t>
  </si>
  <si>
    <t>Gold 使用题目未说明的范围框，遗漏 Kimberley Basin（10,151 个样品、0 孔）及 Officer Basin Phase 2（32 个样品、0 孔）等有效结果。</t>
  </si>
  <si>
    <t>CD3-052.csv</t>
  </si>
  <si>
    <t>test_cd3_questions.py::test_cd3_052_no_drilling_uses_statewide_drillhole_source</t>
  </si>
  <si>
    <t>111 个图幅仅在四区域 collar 口径下成立；全州 maxgrade 口径只剩 PERCIVAL。题目未说明范围限制，Gold Valid=No。</t>
  </si>
  <si>
    <t>CD3-053.csv</t>
  </si>
  <si>
    <t>test_cd3_questions.py::test_cd3_053_question_discloses_its_geographic_scope</t>
  </si>
  <si>
    <t>Gold 在隐藏的 Kalgoorlie 范围内可复现，但题目没有说明该地区或坐标，结果范围不完整且不可从题意判断。</t>
  </si>
  <si>
    <t>CD3-055.csv</t>
  </si>
  <si>
    <t>test_cd3_questions.py::test_cd3_055_represents_each_declared_top_fifteen_ranking</t>
  </si>
  <si>
    <t>34 个候选网格及 p90 前 15 可复现，但 Gold 声称并列三种排名却只返回 p90 排名，遗漏 max 前 15 的 3 格和 density 前 15 的 8 格；范围和“未钻”定义也未说明。</t>
  </si>
  <si>
    <t>CD4-016</t>
  </si>
  <si>
    <t>In the Kambalda box (lon 121.5-121.8, lat -31.3 to -31.1), plot surface samples and drill collars as two simple layers on one map.</t>
  </si>
  <si>
    <t>CD4-016.png</t>
  </si>
  <si>
    <t>test_cd4_questions.py::test_cd4_016_two_layer_kambalda_map_has_correct_counts_and_readable_png</t>
  </si>
  <si>
    <t>Independent bbox filtering reproduced 14,841 surface samples and 28,421 drill collars. The supplied PNG is readable, substantial and nonblank, with two visually distinct layers, labels, count-bearing legend entries and equal coordinate aspect. Evidence: test_cd4_questions.py::test_cd4_016_two_layer_kambalda_map_has_correct_counts_and_readable_png (PASS).</t>
  </si>
  <si>
    <t>Kambalda 框内 14,841 个地表样品和 28,421 个孔口可复现；两层地图、图例及非空 PNG 均通过。</t>
  </si>
  <si>
    <t>CD4-020.png</t>
  </si>
  <si>
    <t>test_cd4_questions.py::test_cd4_020_ultramafic_polygons_are_clipped_to_requested_box</t>
  </si>
  <si>
    <t>图层与 5 km 比例尺可复现，但 `.cx` 只筛相交多边形、没有裁剪或限定坐标轴，地图向请求范围以南多展示约 40 km，Gold Valid=No。</t>
  </si>
  <si>
    <t>Overlay WAROX field observations and drill collars statewide, with observations coloured by category (rock type versus mineral).</t>
  </si>
  <si>
    <t>CD4-021.png</t>
  </si>
  <si>
    <t>WAROX 两类数量可复现；钻孔按每 30 行抽样为 61,201 点且图例明确披露，结果有效但记录抽样说明。</t>
  </si>
  <si>
    <t>Draw the mapped pegmatite bodies and the drill holes of the Kalgoorlie-Kambalda region on one map.</t>
  </si>
  <si>
    <t>CD4-033.png</t>
  </si>
  <si>
    <t>254 个伟晶岩体和 373,776 个 R1 钻孔均正确显示；但成品图例只列钻孔、缺少伟晶岩体标签，属输出说明问题。</t>
  </si>
  <si>
    <t>CD4-042</t>
  </si>
  <si>
    <t>Prepare a plot-ready table of the largest sedimentary basins: name, type, and area in square kilometres.</t>
  </si>
  <si>
    <t>CD4-042.csv</t>
  </si>
  <si>
    <t>test_cd4_questions.py::test_cd4_042_recomputes_largest_basin_plot_table</t>
  </si>
  <si>
    <t>Independent EPSG:9473 polygon-area aggregation reproduced all 15 basin name/type rows, polygon counts and rounded square-kilometre areas. Ordering and schema matched CD4-042.csv. Evidence: test_cd4_questions.py::test_cd4_042_recomputes_largest_basin_plot_table (PASS).</t>
  </si>
  <si>
    <t>独立投影与面积汇总复现 15 个盆地的名称、类型、多边形数及面积，结果正确。</t>
  </si>
  <si>
    <t>CD4-049</t>
  </si>
  <si>
    <t>Prepare mineral occurrence labels grouped into broad commodity classes for a map legend.</t>
  </si>
  <si>
    <t>CD4-049.csv</t>
  </si>
  <si>
    <t>test_cd4_questions.py::test_cd4_049_recomputes_broad_commodity_legend_classes</t>
  </si>
  <si>
    <t>Independent label classification reproduced all six broad commodity classes and both counts per class: other 2,267/485, Copper 2,031/173, Gold 1,202/82, Nickel 989/85, Manganese 638/14 and Iron 27/4. Schema and ordering matched CD4-049.csv. Evidence: test_cd4_questions.py::test_cd4_049_recomputes_broad_commodity_legend_classes (PASS).</t>
  </si>
  <si>
    <t>六个矿种大类及其矿点数、原始标签数均与 Gold 一致，可直接用于图例。</t>
  </si>
  <si>
    <t>Map soil gold and drilling together for the Kalgoorlie box in a way that does not overstate the anomalies.</t>
  </si>
  <si>
    <t>CD4-056.png</t>
  </si>
  <si>
    <t>257,967 个土壤 Au 点、分位边界和钻孔数均可复现；分位图有效，但“离群裁剪”注释不准确，&lt;100 筛选后没有再次裁剪。</t>
  </si>
  <si>
    <t>NS</t>
  </si>
  <si>
    <t>Using the GSWA WACHEM quality-controlled dataset, list samples with gold above 100 ppb, showing sample ID, lithology and the gold value.</t>
  </si>
  <si>
    <t>NS1-021.csv</t>
  </si>
  <si>
    <t>202 条高于 100 ppb 的记录可复现，但只有 200 个唯一 sample_id；两组同 ID 不同值需作数据质量说明。</t>
  </si>
  <si>
    <t>NS1-029</t>
  </si>
  <si>
    <t>Which laboratory analysed each of the surface samples, and by what method?</t>
  </si>
  <si>
    <t>NS1-029.txt</t>
  </si>
  <si>
    <t>test_ns1_questions.py::test_ns1_029_correctly_refuses_unavailable_lab_and_method_fields</t>
  </si>
  <si>
    <t>Schema inspection confirms that surface_sample and surface_assay contain no laboratory, method, batch or detection-limit fields. The supplied text correctly refuses to invent an answer and explains the resulting comparability limitation. Evidence: test_ns1_questions.py::test_ns1_029_correctly_refuses_unavailable_lab_and_method_fields (PASS).</t>
  </si>
  <si>
    <t>地表样品与化验表确实没有实验室、方法、批次或检出限字段；Gold 正确拒答，没有臆造信息。</t>
  </si>
  <si>
    <t>List the soil samples that returned a bismuth value.</t>
  </si>
  <si>
    <t>NS1-032.csv</t>
  </si>
  <si>
    <t>5,407,653 个土壤样品的 Bi 最大值仍为 -9999 哨兵，因此空结果正确，但也说明该字段完全没有可用数据。</t>
  </si>
  <si>
    <t>NS1-037.csv</t>
  </si>
  <si>
    <t>test_ns1_questions.py::test_ns1_037_question_discloses_gold_geographic_scope</t>
  </si>
  <si>
    <t>Gold 使用题目未说明的经纬度框，只回答局部地区而非全州具名地质单元排名，Gold Valid=No。</t>
  </si>
  <si>
    <t>NS1-043</t>
  </si>
  <si>
    <t>What is the pH of groundwater in this dataset?</t>
  </si>
  <si>
    <t>NS1-043.csv</t>
  </si>
  <si>
    <t>test_ns1_questions.py::test_ns1_043_recomputes_laboratory_and_field_groundwater_ph</t>
  </si>
  <si>
    <t>Independent valid-range filtering reproduced both pH definitions: laboratory n=35,441, mean 6.98, median 7.2; field n=1,774, mean 6.59, median 6.8. Separating the two columns avoids presenting one ambiguous pH value. Evidence: test_ns1_questions.py::test_ns1_043_recomputes_laboratory_and_field_groundwater_ph (PASS).</t>
  </si>
  <si>
    <t>实验室与现场 pH 的有效数量、均值和中位数均可复现；分别报告两种定义是正确做法。</t>
  </si>
  <si>
    <t>NS1-049.csv</t>
  </si>
  <si>
    <t>test_ns1_questions.py::test_ns1_049_complete_major_ions_include_potassium</t>
  </si>
  <si>
    <t>总数、pH 和 TDS 正确，但“主要离子齐全”漏掉 K；包含钾后应为 23,269，而非 23,314。</t>
  </si>
  <si>
    <t>NS1-051.png</t>
  </si>
  <si>
    <t>test_ns1_questions.py::test_ns1_051_delivered_chart_contains_plot_data</t>
  </si>
  <si>
    <t>交付 PNG 可打开但只有标题、空坐标轴和空图例，没有任何堆叠条或图幅名称；代码还使用未披露范围框，Gold Valid=No。</t>
  </si>
  <si>
    <t>How many groundwater analyses were sampled each year, and what was that year's median TDS?</t>
  </si>
  <si>
    <t>NS2-018.csv</t>
  </si>
  <si>
    <t>五个年份的数量和 TDS 中位数均可复现；但 40,581 条中仅 965 条有日期，需注明时间覆盖极低。</t>
  </si>
  <si>
    <t>NS2-023</t>
  </si>
  <si>
    <t>What is the most frequently observed mineral in WAROX field observations, and how many times more common is it than the second most frequent?</t>
  </si>
  <si>
    <t>NS2-023.csv</t>
  </si>
  <si>
    <t>test_ns2_questions.py::test_ns2_023_recomputes_two_most_frequent_warox_minerals</t>
  </si>
  <si>
    <t>Independent WAROX mineral-category counts identify Quartz at 50,308 and Biotite at 20,435, giving the reported 2.46 ratio. Schema and values match NS2-023.csv. Evidence: test_ns2_questions.py::test_ns2_023_recomputes_two_most_frequent_warox_minerals (PASS).</t>
  </si>
  <si>
    <t>WAROX 矿物观测中 Quartz 50,308、Biotite 20,435，倍数 2.46，与 Gold 一致。</t>
  </si>
  <si>
    <t>Which soil samples came back unusually high in gold? Treat the top 5 percent of measured values as unusual.</t>
  </si>
  <si>
    <t>NS2-027.csv</t>
  </si>
  <si>
    <t>3,674,753 个可用值、P95=0.068 ppm、严格大于阈值的 183,412 条均正确；极端最大值 537,099.97 ppm 需作数据质量说明。</t>
  </si>
  <si>
    <t>NS2-038</t>
  </si>
  <si>
    <t>What proportion of groundwater analyses have a usable pH, and what is the real range?</t>
  </si>
  <si>
    <t>NS2-038.csv</t>
  </si>
  <si>
    <t>test_ns2_questions.py::test_ns2_038_recomputes_usable_groundwater_ph_proportion_and_range</t>
  </si>
  <si>
    <t>Independent valid-range filtering reproduced 40,581 rows, 35,441 usable pH values, 87.3% valid of non-null, valid mean 6.98 and range 1.8-10.94. The naive -1260.4 mean correctly demonstrates sentinel contamination. Evidence: test_ns2_questions.py::test_ns2_038_recomputes_usable_groundwater_ph_proportion_and_range (PASS).</t>
  </si>
  <si>
    <t>有效 pH 数量、87.3% 比例、均值及 1.8–10.94 范围均可复现；原始均值显示哨兵污染。</t>
  </si>
  <si>
    <t>In the WA geochemistry table, what is the typical major-oxide composition? Give median Al2O3 and CaO by sample type.</t>
  </si>
  <si>
    <t>NS2-041.csv</t>
  </si>
  <si>
    <t>四类样品的行数和两种正值中位数正确；n 是组内总行数，不是两种氧化物同时可用的数量，需说明。</t>
  </si>
  <si>
    <t>NS2-048.csv</t>
  </si>
  <si>
    <t>test_ns2_questions.py::test_ns2_048_answers_each_greenstone_belt_without_hidden_medium_or_top_n_filters</t>
  </si>
  <si>
    <t>Gold 的筛选后前 12 可复现，但题目要求每条绿岩带的地表样品；土壤限定、Au 范围、n&gt;=200 和 top12 均未说明，Gold Valid=No。</t>
  </si>
  <si>
    <t>NS3-017</t>
  </si>
  <si>
    <t>How many surface samples of each medium fall inside the Hamersley Basin?</t>
  </si>
  <si>
    <t>NS3-017.csv</t>
  </si>
  <si>
    <t>test_ns3_questions.py::test_ns3_017_recomputes_sample_media_inside_hamersley_basin</t>
  </si>
  <si>
    <t>Independent point-in-polygon membership and UID de-duplication reproduced all Hamersley Basin medium counts: rock_chip 9,911, shallow_drill 4, soil 7,232 and stream_sed 1,382. Evidence: test_ns3_questions.py::test_ns3_017_recomputes_sample_media_inside_hamersley_basin (PASS).</t>
  </si>
  <si>
    <t>Hamersley Basin 内四类介质数量均经独立空间连接复现，与 Gold 一致。</t>
  </si>
  <si>
    <t>NS3-018.csv</t>
  </si>
  <si>
    <t>test_ns3_questions.py::test_ns3_018_gold_matches_exact_dwithin_pair_count</t>
  </si>
  <si>
    <t>精确 &lt;=10 m 最近对为 43,884（全部 ID 不同），Gold 的 buffer/within 近似漏掉边界上的 2 对，Gold Valid=No。</t>
  </si>
  <si>
    <t>Which stream sediment samples returned gold above 1000 ppm?</t>
  </si>
  <si>
    <t>NS3-028.csv</t>
  </si>
  <si>
    <t>河流沉积物 Au 最大值为 967 ppm，未超过严格阈值 1,000，因此空结果正确；极高数值仍需数据质量复核。</t>
  </si>
  <si>
    <t>What is the gold content around Kalgoorlie?</t>
  </si>
  <si>
    <t>NS3-029.csv</t>
  </si>
  <si>
    <t>Gold 明确披露欠指定题目的假设，三种半径统计均可复现；25 km 均值被极端值强烈拉高，需结合中位数与 P95 解读。</t>
  </si>
  <si>
    <t>NS3-033.csv</t>
  </si>
  <si>
    <t>test_ns3_questions.py::test_ns3_033_question_discloses_gold_scope_and_filters</t>
  </si>
  <si>
    <t>Gold 使用未说明的 Kalgoorlie 范围、土壤介质和 Au 范围，并可能因最近断层并列重复样品，未回答通用题意。</t>
  </si>
  <si>
    <t>NS3-035</t>
  </si>
  <si>
    <t>How dense is the surface sampling in each region box? Give samples per square kilometre.</t>
  </si>
  <si>
    <t>NS3-035.csv</t>
  </si>
  <si>
    <t>test_ns3_questions.py::test_ns3_035_recomputes_sampling_density_for_four_region_boxes</t>
  </si>
  <si>
    <t>Independent bbox counts and EPSG:9473 polygon areas reproduced all four rows: R1 534,994/15,841=33.77, R2 208,366/8,090=25.76, R4 64,514/10,247=6.30 and R3 1,302/6,404=0.20 samples per square kilometre. Evidence: test_ns3_questions.py::test_ns3_035_recomputes_sampling_density_for_four_region_boxes (PASS).</t>
  </si>
  <si>
    <t>四个区域框的样品数、投影面积和每平方公里密度均可复现。</t>
  </si>
  <si>
    <t>List the soil samples that have a chromium value.</t>
  </si>
  <si>
    <t>NS3-039.csv</t>
  </si>
  <si>
    <t>土壤 Cr 最大值仍是 -9999 哨兵，空结果正确；同时说明土壤铬字段没有可用测值。</t>
  </si>
  <si>
    <t>NS3-047.csv</t>
  </si>
  <si>
    <t>test_ns3_questions.py::test_ns3_047_question_discloses_gold_sample_bbox</t>
  </si>
  <si>
    <t>Gold 用未披露范围框筛样品，只返回 6 个城镇，无法代表全州 10 km 内样品最多的前十，Gold Valid=No。</t>
  </si>
  <si>
    <t>Rank As, Sb, Bi, W, Cu and Ag by their correlation with gold in rock chips, showing rank, correlation and the number of usable pairs.</t>
  </si>
  <si>
    <t>NS4-021.csv</t>
  </si>
  <si>
    <t>六种元素的可用对数、相关系数和排名均可复现；相关性几乎为零，排名数值正确但不代表有实质地质关系。</t>
  </si>
  <si>
    <t>NS4-023</t>
  </si>
  <si>
    <t>In WACHEM, which samples have platinum-group enrichment, defined as Pt plus Pd above 50 ppb? Report both values, their sum and the lithology.</t>
  </si>
  <si>
    <t>NS4-023.csv</t>
  </si>
  <si>
    <t>test_ns4_questions.py::test_ns4_023_recomputes_wachem_platinum_group_enrichment</t>
  </si>
  <si>
    <t>Independent WACHEM filtering reproduced all 151 Pt+Pd rows strictly above 50 ppb, with sums from 50.5 to 2,082 ppb. Six exact-50 rows are correctly excluded by the strict threshold. Evidence: test_ns4_questions.py::test_ns4_023_recomputes_wachem_platinum_group_enrichment (PASS).</t>
  </si>
  <si>
    <t>151 条 Pt+Pd&gt;50 ppb 的结果可复现，范围 50.5–2,082；等于 50 的六条按严格阈值正确排除。</t>
  </si>
  <si>
    <t>NS4-026.csv</t>
  </si>
  <si>
    <t>test_ns4_questions.py::test_ns4_026_corrected_value_column_uses_its_actual_unit</t>
  </si>
  <si>
    <t>六个疑似错单位报告可复现，但除以 1,000 后得到的是 ppm 等价值，Gold 却将列命名为 ppb，单位标签错误。</t>
  </si>
  <si>
    <t>Among the rock chips, where does copper run more than ten times zinc? Give the two numbers and the factor.</t>
  </si>
  <si>
    <t>NS4-027.csv</t>
  </si>
  <si>
    <t>15,715 个唯一样品及 Cu/Zn&gt;10 结果可复现；极端比值来自极小正 Zn 值，需结合检出限和单位审查。</t>
  </si>
  <si>
    <t>In groundwater, does chloride track sodium as it would in evaporated seawater? Give their medians and the molar ratio.</t>
  </si>
  <si>
    <t>NS4-039.csv</t>
  </si>
  <si>
    <t>26,194 对数据及成对摩尔比中位数 1.075 均正确；它不同于两个总体中位数之比，需保留定义说明。</t>
  </si>
  <si>
    <t>NS4-050.csv</t>
  </si>
  <si>
    <t>test_ns4_questions.py::test_ns4_050_returns_complete_total_inside_greenstone_belts</t>
  </si>
  <si>
    <t>题目要求完整总数，Gold 却返回前 12 个带及额外中位数，少计 3,844 个合格样品；完整唯一总数应为 1,706,106。</t>
  </si>
  <si>
    <t>Compare the nickel to copper ratio inside greenstone belts against outside them.</t>
  </si>
  <si>
    <t>NS4-053.csv</t>
  </si>
  <si>
    <t>两组比值结果内部一致，但 outside 仅指绿岩带总外包矩形内且不在多边形中的样品，不是全州带外，需说明范围。</t>
  </si>
  <si>
    <t>Plot the number of groundwater analyses sampled per year as a bar chart.</t>
  </si>
  <si>
    <t>NS5-016.png</t>
  </si>
  <si>
    <t>年度柱状图与 965 条有日期记录可复现，并明确标出总计 40,581 条中的日期缺失情况。</t>
  </si>
  <si>
    <t>Draw a choropleth of surface-sample count per 1:250k map sheet, using a logarithmic colour scale.</t>
  </si>
  <si>
    <t>NS5-017.png</t>
  </si>
  <si>
    <t>分幅、样品输入及对数色标地图均有效；但跨图幅全局 UID 去重对重叠边界的归属仍是方法说明项。</t>
  </si>
  <si>
    <t>NS5-024</t>
  </si>
  <si>
    <t>Dual-axis plot for soil gold in 0.1-ppm bins up to 1 ppm: bars for sample count, and a line for the cumulative share of total contained gold.</t>
  </si>
  <si>
    <t>NS5-024.png</t>
  </si>
  <si>
    <t>test_ns5_questions.py::test_ns5_024_soil_gold_histogram_and_cumulative_metal_are_reproducible</t>
  </si>
  <si>
    <t>Independent soil filtering and 0.1 ppm histogramming verified ten bins, complete sample allocation, monotonic cumulative contained-gold share and a final share of one. The dual-axis PNG is readable and labels both axes. Evidence: test_ns5_questions.py::test_ns5_024_soil_gold_histogram_and_cumulative_metal_are_reproducible (PASS).</t>
  </si>
  <si>
    <t>0–1 ppm 的十个分箱、样品计数及累计含金量曲线逻辑正确，双轴 PNG 可读。</t>
  </si>
  <si>
    <t>Map soil gold across the Kalgoorlie box (longitude 121.2 to 121.8, latitude -31.0 to -30.5) so that the spatial pattern of the anomalies is actually visible.</t>
  </si>
  <si>
    <t>NS5-027.png</t>
  </si>
  <si>
    <t>66,943 个正值样品及色标分位点可复现；极端值仍保留但颜色在分位端点饱和，空间结构可见。</t>
  </si>
  <si>
    <t>Plot the gold anomalies in the stream sediment data.</t>
  </si>
  <si>
    <t>NS5-028.png</t>
  </si>
  <si>
    <t>“异常”阈值未定义；Gold 透明展示 P90/P95/P99 三种敏感性结果，阈值和数量均可复现。</t>
  </si>
  <si>
    <t>Draw a chondrite-normalised rare earth pattern for the WA geochemistry samples: the median and the 10th to 90th percentile envelope.</t>
  </si>
  <si>
    <t>NS5-036.png</t>
  </si>
  <si>
    <t>18,387 个完整样品及 P10–P90 包络逻辑正确；但七个球粒陨石标准值没有来源说明。</t>
  </si>
  <si>
    <t>Prepare a 2D density grid of soil sampling in the Kalgoorlie box, at 0.02 degree resolution, ready for a heatmap.</t>
  </si>
  <si>
    <t>NS5-041.csv</t>
  </si>
  <si>
    <t>337,809 个土壤点、1,616 个非空网格及全部计数可复现；0.02 度网格并非严格等面积，解读密度时需说明。</t>
  </si>
  <si>
    <t>NS5-043.csv</t>
  </si>
  <si>
    <t>test_ns5_questions.py::test_ns5_043_covers_every_assay_element_using_nonnegative_rule</t>
  </si>
  <si>
    <t>题目要求每个元素，Gold 只列 5/26 个且错误排除合法零值；Au 可用数应为 5,298,414，而非 5,083,154。</t>
  </si>
  <si>
    <t>Prepare a correlation matrix of five soil elements as a long-format table, ready for a heatmap.</t>
  </si>
  <si>
    <t>NS5-047.csv</t>
  </si>
  <si>
    <t>1,138,037 个完整样品和 25 个相关矩阵单元均可复现；五种元素及上限由 Gold 自行选择，需说明。</t>
  </si>
  <si>
    <t>Prepare data for a scatter of arsenic against gold: a random sample of 5000 soil pairs with both values.</t>
  </si>
  <si>
    <t>NS5-053.csv</t>
  </si>
  <si>
    <t>5,000 行均符合筛选并来自 2,118,301 个候选对；但无随机种子且不含 UID，无法精确复现或追溯。</t>
  </si>
  <si>
    <t>CD1-016</t>
  </si>
  <si>
    <t>In the Kambalda box (lon 121.5-121.8, lat -31.3 to -31.1), how many surface samples and how many drill holes are there?</t>
  </si>
  <si>
    <t>1</t>
  </si>
  <si>
    <t>Found</t>
  </si>
  <si>
    <t>Generated</t>
  </si>
  <si>
    <t>True</t>
  </si>
  <si>
    <t>0</t>
  </si>
  <si>
    <t>None</t>
  </si>
  <si>
    <t>PASS</t>
  </si>
  <si>
    <t>The supplied python code executes successfully and the independent rerun reproduces the supplied 1-row result exactly: row count, columns and values all match. No duplicate rows were found. No negative-value or sentinel-value issues were identified.</t>
  </si>
  <si>
    <t>CD1-017</t>
  </si>
  <si>
    <t>How many drill holes and how many surface samples fall inside the Hamersley Basin?</t>
  </si>
  <si>
    <t>CD1-017.csv</t>
  </si>
  <si>
    <t>CD1-017_rerun.csv</t>
  </si>
  <si>
    <t>The supplied geopandas code executes successfully and the independent rerun reproduces the supplied 1-row result exactly: row count, columns and values all match. No duplicate rows were found. No negative-value or sentinel-value issues were identified.</t>
  </si>
  <si>
    <t>CD1-023</t>
  </si>
  <si>
    <t>Is every operating gold mine site accompanied by nearby surface sampling? Report how many operating gold sites have at least one surface sample within 1 km, and how many have none.</t>
  </si>
  <si>
    <t>CD1-023.csv</t>
  </si>
  <si>
    <t>CD1-023_rerun.csv</t>
  </si>
  <si>
    <t>CD1-024</t>
  </si>
  <si>
    <t>Three-layer join in the Kalgoorlie-Kambalda box (lon 121.0-122.0, lat -32.0 to -30.5): how many soil samples are simultaneously within 2 km of a drill hole AND within 1 km of a mapped fault?</t>
  </si>
  <si>
    <t>CD1-024.csv</t>
  </si>
  <si>
    <t>CD1-024_rerun.csv</t>
  </si>
  <si>
    <t>CD1-026.csv</t>
  </si>
  <si>
    <t>CD1-026_rerun.csv</t>
  </si>
  <si>
    <t>False</t>
  </si>
  <si>
    <t>CHECK REQUIRED</t>
  </si>
  <si>
    <t>The supplied GeoPandas code executes successfully, but its own logged comparison shows a genuine value mismatch: the independent rerun reports n_hole_has_significant_intercept = 1,832 against the supplied 1,821, out of 15,180 soil-Au anomalies in the Kalgoorlie-Kambalda region (n_anomalies_in_region and n_with_hole_within_500m both match exactly at 15,180 and the log's own row count/column shape). The validator flags this itself as 'Supplied query runs: CHECK REQUIRED'. The root cause is a non-deterministic nearest-neighbour tie-break: gpd.sjoin_nearest(g, holes, max_distance=500, ...).drop_duplicates('uid') keeps one arbitrary hole per anomaly when multiple holes are equally near, and the code then reads an attribute (best_intercept_gpt, via near.hole_id.map(best)) from whichever tied hole survived the drop_duplicates call, rather than testing only existence. Because the kept tie depends on row order rather than a documented rule, the count of anomalies whose nearest hole clears the 0.5 g/t / 4 m / 2 m-dilution significant-intercept test is not reproducible between runs.</t>
  </si>
  <si>
    <t>CD1-029</t>
  </si>
  <si>
    <t>In a single SQL query, report how many drill holes and how many surface samples fall inside the Hamersley Basin.</t>
  </si>
  <si>
    <t>The supplied sql code executes successfully and the independent rerun reproduces the supplied 1-row result exactly: row count, columns and values all match. No duplicate rows were found. No negative-value or sentinel-value issues were identified.</t>
  </si>
  <si>
    <t>CD1-036</t>
  </si>
  <si>
    <t>Which 1:250 000 map sheets contain the most surface samples? Give the top ten with sheet name and sample count.</t>
  </si>
  <si>
    <t>10</t>
  </si>
  <si>
    <t>The supplied sql code executes successfully and the independent rerun reproduces the supplied 10-row result exactly: row count, columns and values all match. No duplicate rows were found. No negative-value or sentinel-value issues were identified.</t>
  </si>
  <si>
    <t>CD1-038</t>
  </si>
  <si>
    <t>Within the Kalgoorlie box (longitude 121.0 to 122.0, latitude -32.0 to -30.5), how many surface samples fall inside each greenstone belt?</t>
  </si>
  <si>
    <t>2</t>
  </si>
  <si>
    <t>The supplied sql code executes successfully and the independent rerun reproduces the supplied 2-row result exactly: row count, columns and values all match. No duplicate rows were found. No negative-value or sentinel-value issues were identified.</t>
  </si>
  <si>
    <t>CD1-043</t>
  </si>
  <si>
    <t>How many surface samples are within 500 m of a drill hole in the Ravensthorpe region?</t>
  </si>
  <si>
    <t>CD2-021</t>
  </si>
  <si>
    <t>Does mapped bedrock geology agree with what was drilled? For ultramafic-mapped polygons, what share of the drill holes inside them logged an ultramafic lithology code?</t>
  </si>
  <si>
    <t>CD2-021.csv</t>
  </si>
  <si>
    <t>CD2-021_rerun.csv</t>
  </si>
  <si>
    <t>CD2-028</t>
  </si>
  <si>
    <t>Without using any spatial extension or spatial function, count the stream sediment samples within 20 km of Kambalda townsite (longitude 121.62, latitude -31.21). Compute great-circle distance in plain SQL.</t>
  </si>
  <si>
    <t>Take the Kambalda block (121.5 to 121.8 east, -31.3 to -31.1 south). Where soil nickel tops 500 ppm, does the closest hole inside a kilometre also carry better than one percent nickel? Break it down into agrees, disagrees, and nothing drilled nearby.</t>
  </si>
  <si>
    <t>3</t>
  </si>
  <si>
    <t>CD2-031_rerun.csv</t>
  </si>
  <si>
    <t>The supplied GeoPandas code executes successfully and the rerun reproduces the supplied three-row result exactly (row count, columns and values all match). However, the code uses the identical structural pattern already CONFIRMED unstable elsewhere in this same assigned set (CD1-026): gpd.sjoin_nearest(g, maxg, max_distance=1000, ...).drop_duplicates('uid') followed by reading the joined hole_ni attribute of whichever tied nearest maxgrade point survived the drop_duplicates call, with no documented tie-break rule. In this smaller Kambalda box the one execution captured in the log happened to match the supplied classification (agrees/disagrees/no_hole_within_1km counts identical), which suggests either no ties exist among drillhole_maxgrade points within 1 km of these anomalies, or any ties that exist do not straddle the &gt;1% Ni classification threshold — but neither has been independently confirmed. Given that the same code shape produced a materially different answer in CD1-026, this query's exact match should not be read as proof the tie-break issue does not apply here.</t>
  </si>
  <si>
    <t>CD2-034</t>
  </si>
  <si>
    <t>In the Kambalda box, what is the highest soil gold value and the highest downhole gold value? Are they the same order of magnitude?</t>
  </si>
  <si>
    <t>CD2-037</t>
  </si>
  <si>
    <t>For silver, compare the surface and drill-hole grade distributions: count, median and 99th percentile on each side.</t>
  </si>
  <si>
    <t>CD2-047</t>
  </si>
  <si>
    <t>Compare gold in the WA geochemistry table against gold in the surface assay table ΓÇö are they the same population?</t>
  </si>
  <si>
    <t>CD2-050</t>
  </si>
  <si>
    <t>Which database has more arsenic measurements, and what are the medians?</t>
  </si>
  <si>
    <t>CD3-022</t>
  </si>
  <si>
    <t>Find the undrilled gold targets.</t>
  </si>
  <si>
    <t>CD3-022.csv</t>
  </si>
  <si>
    <t>CD3-022_rerun.csv</t>
  </si>
  <si>
    <t>The supplied geopandas code executes successfully and the independent rerun reproduces the supplied 3-row result exactly: row count, columns and values all match. No duplicate rows were found. No negative-value or sentinel-value issues were identified.</t>
  </si>
  <si>
    <t>CD3-031</t>
  </si>
  <si>
    <t>We want ground nobody has tested yet. Pull the soil sites running over 100 ppb gold where there isn't a single drill hole inside 2 km, tell me how many there are and show the strongest ten.</t>
  </si>
  <si>
    <t>CD3-031.csv</t>
  </si>
  <si>
    <t>CD3-031_rerun.csv</t>
  </si>
  <si>
    <t>The supplied geopandas code executes successfully and the independent rerun reproduces the supplied 10-row result exactly: row count, columns and values all match. No duplicate rows were found. No negative-value or sentinel-value issues were identified.</t>
  </si>
  <si>
    <t>CD3-036</t>
  </si>
  <si>
    <t>refusal</t>
  </si>
  <si>
    <t>Of the undrilled gold targets you found near Kambalda, which one has the best chance of being economic? Rank them by expected value.</t>
  </si>
  <si>
    <t>N/A — refusal</t>
  </si>
  <si>
    <t>Refusal text</t>
  </si>
  <si>
    <t>Manual schema/database verification</t>
  </si>
  <si>
    <t>Requires manual semantic review</t>
  </si>
  <si>
    <t>This is a refusal question (R-unans) and, by validator design, produces no CSV or PNG rerun artifact — its absence from validation_results/ is expected, not a data-quality problem. The gold refusal text is written in Chinese and renders as mojibake in the UTF-16 log after decoding; this is a presentation/encoding artefact of how the log was captured, not evidence that the refusal content itself is wrong. The validator scanned all 35 frozen-database parquet schemas for fields plausibly related to 'best chance of being economic' / 'rank by expected value' and surfaces candidate join keys and matched fields, but explicitly leaves every item on its manual-review checklist unticked (attribute exists directly, exists under another name, reliable join path, join cardinality checked, aggregation computable, refusal accurately describes the limitation, refusal preferable to inventing data, clarification not required) and ends with 'Overall verdict: MANUAL REVIEW REQUIRED'. No automated evidence in this set resolves whether refusal was the correct response versus an answerable question with the right join path; this requires a human to read the Chinese refusal text natively and check it against the surfaced schema fields.</t>
  </si>
  <si>
    <t>CD3-039</t>
  </si>
  <si>
    <t>How much of the drilling sits inside mapped palaeovalleys? Palaeovalleys matter because they can host buried mineralisation.</t>
  </si>
  <si>
    <t>CD3-046</t>
  </si>
  <si>
    <t>Draw a map of undrilled soil gold anomalies in the Kambalda box, with the drilled ones shown for contrast.</t>
  </si>
  <si>
    <t>N/A — image output</t>
  </si>
  <si>
    <t>CD3-046.png</t>
  </si>
  <si>
    <t>CD3-046_rerun.png</t>
  </si>
  <si>
    <t>The code executes successfully and an independent rerun PNG was generated (CD3-046_rerun.png alongside the supplied CD3-046.png); both exist on disk. Exact pixel equality is not expected or required. The supplied gold image was visually inspected against the question text: the chart/map type, data selection, and labelling appear to genuinely answer what was asked, with no readability, mislabelling, or filtering problem identified. This is a visual sanity check of the gold image, not a pixel-level or pointwise data audit of every plotted value.</t>
  </si>
  <si>
    <t>CD3-049</t>
  </si>
  <si>
    <t>Which parts of the Kalgoorlie box are under-explored?</t>
  </si>
  <si>
    <t>The supplied python code executes successfully and the independent rerun reproduces the supplied 3-row result exactly: row count, columns and values all match. No duplicate rows were found. No negative-value or sentinel-value issues were identified.</t>
  </si>
  <si>
    <t>CD3-050</t>
  </si>
  <si>
    <t>How many mineral occurrences have no drill hole within 1 km?</t>
  </si>
  <si>
    <t>CD3-051</t>
  </si>
  <si>
    <t>Which greenstone belts have the most surface sampling but the least drilling? Rank by samples per hole.</t>
  </si>
  <si>
    <t>4</t>
  </si>
  <si>
    <t>The supplied sql code executes successfully and the independent rerun reproduces the supplied 4-row result exactly: row count, columns and values all match. No duplicate rows were found. 1 missing cells were flagged.</t>
  </si>
  <si>
    <t>CD4-017</t>
  </si>
  <si>
    <t>Draw a statewide choropleth of drilling intensity per 1:250k map sheet (holes per 1000 km2, log scale) and overlay operating gold mines as stars.</t>
  </si>
  <si>
    <t>CD4-017.png</t>
  </si>
  <si>
    <t>CD4-017_rerun.png</t>
  </si>
  <si>
    <t>The code executes successfully and an independent rerun PNG was generated (CD4-017_rerun.png alongside the supplied CD4-017.png); both exist on disk. Exact pixel equality is not expected or required. The supplied gold image was visually inspected against the question text: the chart/map type, data selection, and labelling appear to genuinely answer what was asked, with no readability, mislabelling, or filtering problem identified. This is a visual sanity check of the gold image, not a pixel-level or pointwise data audit of every plotted value.</t>
  </si>
  <si>
    <t>CD4-022</t>
  </si>
  <si>
    <t>Not a map: draw a horizontal bar chart comparing, for each of the four regions, the percentage of drill holes with a surface sample within 500 m.</t>
  </si>
  <si>
    <t>CD4-022.png</t>
  </si>
  <si>
    <t>CD4-022_rerun.png</t>
  </si>
  <si>
    <t>The code executes successfully and an independent rerun PNG was generated (CD4-022_rerun.png alongside the supplied CD4-022.png); both exist on disk. Exact pixel equality is not expected or required. The supplied gold image was visually inspected against the question text: the chart/map type, data selection, and labelling appear to genuinely answer what was asked, with no readability, mislabelling, or filtering problem identified. This is a visual sanity check of the gold image, not a pixel-level or pointwise data audit of every plotted value.</t>
  </si>
  <si>
    <t>Overlay drill holes on greenstone belt polygons for the Kalgoorlie box and colour the holes by peak gold, in a form where both layers stay readable.</t>
  </si>
  <si>
    <t>CD4-029_rerun.png</t>
  </si>
  <si>
    <t>The code executes successfully and both the supplied CD4-029.png and the rerun CD4-029_rerun.png were visually inspected: they are structurally identical, so reproducibility is not in question. However, the question explicitly asks for a form 'where both layers stay readable', and this is not achieved. The gold code selects greenstone belts with greenstone_belt.parquet[...].cx[BBOX[0]:BBOX[1], BBOX[2]:BBOX[3]] using the same Kalgoorlie BBOX=(121.2,121.8,-31.0,-30.5) used for the drill holes. GeoPandas' .cx[] indexer is a bounding-box *selection*: it returns any geometry whose own bounding box intersects the query box, unclipped — it does not trim the geometry to the box. Because several greenstone belt polygons extend far beyond the Kalgoorlie box while still touching it, the full, unclipped belts are drawn, and ax.set_aspect('equal') then autoscales to their statewide extent (visible axis range is roughly 120.5-123 deg longitude, -25.5 to -32 deg latitude in both images). The drill-hole scatter, which genuinely is confined to the small Kalgoorlie box, is compressed into an illegible cluster in one corner of the figure. The two layers do not, in fact, both stay readable.</t>
  </si>
  <si>
    <t>CD4-032</t>
  </si>
  <si>
    <t>Draw the Ravensthorpe region: drill hole collars and surface sample locations on one map.</t>
  </si>
  <si>
    <t>CD4-032.png</t>
  </si>
  <si>
    <t>CD4-032_rerun.png</t>
  </si>
  <si>
    <t>The code executes successfully and an independent rerun PNG was generated (CD4-032_rerun.png alongside the supplied CD4-032.png); both exist on disk. Exact pixel equality is not expected or required. The supplied gold image was visually inspected against the question text: the chart/map type, data selection, and labelling appear to genuinely answer what was asked, with no readability, mislabelling, or filtering problem identified. This is a visual sanity check of the gold image, not a pixel-level or pointwise data audit of every plotted value.</t>
  </si>
  <si>
    <t>CD4-039</t>
  </si>
  <si>
    <t>Prepare a table of townsites with their coordinates, for labelling a map of the Kalgoorlie region.</t>
  </si>
  <si>
    <t>{'latitude': 4}</t>
  </si>
  <si>
    <t>The supplied sql code executes successfully and the independent rerun reproduces the supplied 4-row result exactly: row count, columns and values all match. No duplicate rows were found. 4 negative numeric cells were flagged ({'latitude': 4}); these were not automatically treated as errors and no evidence in this static audit indicates they are invalid rather than legitimate values (e.g. southern-hemisphere coordinates) for this query.</t>
  </si>
  <si>
    <t>CD4-044</t>
  </si>
  <si>
    <t>Draw a map of the Pilbara showing drill collars coloured by whether they have geophysical logging.</t>
  </si>
  <si>
    <t>CD4-044.png</t>
  </si>
  <si>
    <t>CD4-044_rerun.png</t>
  </si>
  <si>
    <t>The code executes successfully and an independent rerun PNG was generated (CD4-044_rerun.png alongside the supplied CD4-044.png); both exist on disk. Exact pixel equality is not expected or required. The supplied gold image was visually inspected against the question text: the chart/map type, data selection, and labelling appear to genuinely answer what was asked, with no readability, mislabelling, or filtering problem identified. This is a visual sanity check of the gold image, not a pixel-level or pointwise data audit of every plotted value.</t>
  </si>
  <si>
    <t>CD4-048</t>
  </si>
  <si>
    <t>Prepare dissolved greenstone belt outlines for map display: merge the polygons of each belt into one shape and give its area and perimeter.</t>
  </si>
  <si>
    <t>20</t>
  </si>
  <si>
    <t>CD4-048.csv</t>
  </si>
  <si>
    <t>CD4-048_rerun.csv</t>
  </si>
  <si>
    <t>The supplied geopandas code executes successfully and the independent rerun reproduces the supplied 20-row result exactly: row count, columns and values all match. No duplicate rows were found. No negative-value or sentinel-value issues were identified.</t>
  </si>
  <si>
    <t>CD4-051</t>
  </si>
  <si>
    <t>Prepare per-map-sheet layer counts for a small-multiples map: drill holes, mineral occurrences and field observations per sheet.</t>
  </si>
  <si>
    <t>11</t>
  </si>
  <si>
    <t>The supplied sql code executes successfully and the independent rerun reproduces the supplied 11-row result exactly: row count, columns and values all match. No duplicate rows were found. No negative-value or sentinel-value issues were identified.</t>
  </si>
  <si>
    <t>NS1-019</t>
  </si>
  <si>
    <t>Which 10 geologists recorded the most rock-type field observations in WAROX?</t>
  </si>
  <si>
    <t>NS1-023</t>
  </si>
  <si>
    <t>Is there any surface sample with a measured platinum value in the main geochemistry table? Answer yes or no and say how you checked.</t>
  </si>
  <si>
    <t>List the soil samples whose gold assay is above 1 percent.</t>
  </si>
  <si>
    <t>The supplied SQL executes successfully and the rerun reproduces the supplied 20-row result exactly (row count, columns and values all match, Au &gt; 10,000 ppm correctly implemented as 'above 1 percent'). However, the question is phrased as 'List the soil samples whose gold assay is above 1 percent' with no stated cap, while the query adds ORDER BY a.au_ppm DESC LIMIT 20. This question is tagged R-premise: a plausible intent is to test whether the true number of soil samples exceeding this very high (and geologically improbable as a soil assay) threshold is disclosed, in which case an undocumented LIMIT 20 would silently hide the actual qualifying count if more than 20 samples exceed 1% Au. The rerun cannot determine from the top-20 output alone whether 20 is the true total or a truncation, because the query does not also report a total count.</t>
  </si>
  <si>
    <t>26</t>
  </si>
  <si>
    <t>The supplied Python code executes successfully and the rerun reproduces 25 of the 26 supplied rows exactly (row count, columns, n_rows and n_usable all match). The single discrepancy is self-evidently a data error in the supplied result rather than a non-deterministic rerun: for every row, n_usable + n_sentinel_or_nonpositive must equal n_rows by construction of the gold code (n_usable=(v&gt;0).sum(), n_sentinel_or_nonpositive=(v&lt;=0).sum()). This identity holds for all 26 rows of the independently generated rerun CSV. It also holds for 25 of the 26 rows of the supplied geoquerybench_v0.1/gold_results/NS1-034.csv, but fails for the w_ppm row: the supplied file records n_sentinel_or_nonpositive = 0, while n_rows (7,516,543) minus n_usable (1,019,261) = 6,497,282 — exactly the value the rerun independently computed. This was confirmed by directly reading and cross-checking the two CSVs (no code execution required beyond arithmetic on already-supplied numbers): the supplied gold result for the w_ppm row is internally inconsistent with its own n_rows and n_usable figures.</t>
  </si>
  <si>
    <t>NS1-041</t>
  </si>
  <si>
    <t>The WA geochemistry table reports both elements and oxides. Which oxide columns does it have, and how many samples have each?</t>
  </si>
  <si>
    <t>The supplied sql code executes successfully and the independent rerun reproduces the supplied 3-row result exactly: row count, columns and values all match. No duplicate rows were found. No negative-value or sentinel-value issues were identified.</t>
  </si>
  <si>
    <t>15</t>
  </si>
  <si>
    <t>The supplied SQL executes successfully, but the rerun does not reproduce the supplied top-15 result: the log's own comparison shows both are (15, 3) with identical columns, yet 6 of 15 parent_group values differ (40% of rows), and the divergence is not merely reordering. From position 7 onward the supplied result has [Kevins Dam Suite, Maitland River Supersuite, Tambina Supersuite, Cassidy Group, Walganna Suite, Orpheus Supersuite, Albert Edward Group, Leviathan Suite] while the rerun has [Maitland River Supersuite, Kevins Dam Suite, Tambina Supersuite, Walganna Suite, Cassidy Group, Orpheus Supersuite, Moorarie Supersuite, Radley Suite] — two different parent groups (Moorarie Supersuite, Radley Suite) enter the rerun's top 15 in place of two that appear in the supplied result (Albert Edward Group, Leviathan Suite). The query is ORDER BY n_distinct_formations DESC LIMIT 15 with no secondary tie-breaker; several parent groups evidently tie on n_distinct_formations at the rank-13-to-15 boundary, so which groups clear the LIMIT 15 cutoff is not deterministic. This changes which stratigraphic groups are reported as answering the question, not just their displayed order.</t>
  </si>
  <si>
    <t>NS2-017</t>
  </si>
  <si>
    <t>For measured soil gold, what share of the total contained gold sits in the top 1% of samples? Report the cumulative share at the 90th, 99th and 99.9th percentiles.</t>
  </si>
  <si>
    <t>NS2-021</t>
  </si>
  <si>
    <t>Do soil samples have a higher median gold value than stream sediments? Answer with both medians and an explicit verdict.</t>
  </si>
  <si>
    <t>NS2-029</t>
  </si>
  <si>
    <t>What is the average pH of groundwater in the dataset?</t>
  </si>
  <si>
    <t>{'naive_mean_ph': 1}</t>
  </si>
  <si>
    <t>The supplied sql code executes successfully and the independent rerun reproduces the supplied 1-row result exactly: row count, columns and values all match. No duplicate rows were found. 1 negative numeric cells were flagged ({'naive_mean_ph': 1}); these were not automatically treated as errors and no evidence in this static audit indicates they are invalid rather than legitimate values (e.g. southern-hemisphere coordinates) for this query.</t>
  </si>
  <si>
    <t>NS2-032</t>
  </si>
  <si>
    <t>What are the typical magnesium levels in each surface sample medium?</t>
  </si>
  <si>
    <t>The supplied sql code executes successfully and the independent rerun reproduces the supplied 4-row result exactly: row count, columns and values all match. No duplicate rows were found. No negative-value or sentinel-value issues were identified.</t>
  </si>
  <si>
    <t>NS2-039</t>
  </si>
  <si>
    <t>Draw the empirical cumulative distribution of soil gold on a log axis, marking the 90th, 99th and 99.9th percentiles.</t>
  </si>
  <si>
    <t>NS2-039.png</t>
  </si>
  <si>
    <t>NS2-039_rerun.png</t>
  </si>
  <si>
    <t>The code executes successfully and an independent rerun PNG was generated (NS2-039_rerun.png alongside the supplied NS2-039.png); both exist on disk. Exact pixel equality is not expected or required. The supplied gold image was visually inspected against the question text: the chart/map type, data selection, and labelling appear to genuinely answer what was asked, with no readability, mislabelling, or filtering problem identified. This is a visual sanity check of the gold image, not a pixel-level or pointwise data audit of every plotted value.</t>
  </si>
  <si>
    <t>NS2-042</t>
  </si>
  <si>
    <t>How saline is the groundwater? Give the distribution of total dissolved solids and of chloride, noting the units.</t>
  </si>
  <si>
    <t>NS2-046</t>
  </si>
  <si>
    <t>Check the quality of the groundwater analyses using an ionic balance: do the cations and anions balance within acceptable error?</t>
  </si>
  <si>
    <t>NS2-050</t>
  </si>
  <si>
    <t>Compare sampling density inside greenstone belts against outside, per square kilometre.</t>
  </si>
  <si>
    <t>NS2-050.csv</t>
  </si>
  <si>
    <t>NS2-050_rerun.csv</t>
  </si>
  <si>
    <t>The supplied geopandas code executes successfully and the independent rerun reproduces the supplied 2-row result exactly: row count, columns and values all match. No duplicate rows were found. No negative-value or sentinel-value issues were identified.</t>
  </si>
  <si>
    <t>NS2-052</t>
  </si>
  <si>
    <t>How variable is gold within a single exploration report? Give the spread for the ten largest reports.</t>
  </si>
  <si>
    <t>The supplied python code executes successfully and the independent rerun reproduces the supplied 10-row result exactly: row count, columns and values all match. No duplicate rows were found. No negative-value or sentinel-value issues were identified.</t>
  </si>
  <si>
    <t>NS2-053</t>
  </si>
  <si>
    <t>How many surface samples fall within each map sheet, and what is the sheet with the fewest?</t>
  </si>
  <si>
    <t>8</t>
  </si>
  <si>
    <t>NS2-053.csv</t>
  </si>
  <si>
    <t>NS2-053_rerun.csv</t>
  </si>
  <si>
    <t>The supplied geopandas code executes successfully and the independent rerun reproduces the supplied 8-row result exactly: row count, columns and values all match. No duplicate rows were found. No negative-value or sentinel-value issues were identified.</t>
  </si>
  <si>
    <t>NS3-022</t>
  </si>
  <si>
    <t>For WAMEX report A75082, what is the area of the convex hull enclosing all of its surface samples, in square kilometres?</t>
  </si>
  <si>
    <t>NS3-022.csv</t>
  </si>
  <si>
    <t>NS3-022_rerun.csv</t>
  </si>
  <si>
    <t>9</t>
  </si>
  <si>
    <t>NS3-026.csv</t>
  </si>
  <si>
    <t>NS3-026_rerun.csv</t>
  </si>
  <si>
    <t>FAIL</t>
  </si>
  <si>
    <t>The batch summary records this query as PASS_EXECUTION with exit code 0, but the log itself shows the supplied gold code actually failed: 'NameError: name \'con\' is not defined', and no NS3-026_rerun.csv file was produced (the batch summary's output_file field is empty for this row). The gold code opens with con.execute('''SELECT DISTINCT s.hole_id, year(...) ...''') — it expects a DuckDB connection object named con — but the question is tagged task=geopandas and is therefore run through validate_geopandas.py, which never imports duckdb and never defines con anywhere in its source; only validate_sql.py creates that connection. The gold code cannot execute under either existing validator as currently written: validate_sql.py's execute_gold() only accepts a pure SQL string, and validate_geopandas.py's namespace has no database connection at all. Separately, this also exposes a validator defect: validate_geopandas.py's exception handler prints '❌ Supplied gold code execution failed' but never calls sys.exit(1), so the PowerShell wrapper's $LASTEXITCODE stays 0 and the batch summary misreports a genuine failure as PASS_EXECUTION. All other 16 geopandas-task logs in this assigned set were checked for the same masked-failure pattern and none showed it, so this is an isolated but confirmed harness/task-to-validator mapping defect for this specific query, not a general problem with the batch.</t>
  </si>
  <si>
    <t>NS3-027</t>
  </si>
  <si>
    <t>Return every stream-sediment sample site falling inside a 20 km radius buffer around the Kambalda townsite centroid, with its planar separation in kilometres.</t>
  </si>
  <si>
    <t>NS3-027.csv</t>
  </si>
  <si>
    <t>NS3-027_rerun.csv</t>
  </si>
  <si>
    <t>NS3-038</t>
  </si>
  <si>
    <t>Which mapped geological units cover the largest area? Give the top fifteen by total mapped area in square kilometres.</t>
  </si>
  <si>
    <t>The supplied sql code executes successfully and the independent rerun reproduces the supplied 15-row result exactly: row count, columns and values all match. No duplicate rows were found. No negative-value or sentinel-value issues were identified.</t>
  </si>
  <si>
    <t>NS3-041</t>
  </si>
  <si>
    <t>How many surface samples fall inside each named basin? Give the top ten.</t>
  </si>
  <si>
    <t>NS3-049</t>
  </si>
  <si>
    <t>Map where the gold anomalies are in the Kalgoorlie box, without letting sampling density masquerade as anomaly density.</t>
  </si>
  <si>
    <t>NS3-049.png</t>
  </si>
  <si>
    <t>NS3-049_rerun.png</t>
  </si>
  <si>
    <t>The code executes successfully and an independent rerun PNG was generated (NS3-049_rerun.png alongside the supplied NS3-049.png); both exist on disk. Exact pixel equality is not expected or required. The supplied gold image was visually inspected against the question text: the chart/map type, data selection, and labelling appear to genuinely answer what was asked, with no readability, mislabelling, or filtering problem identified. This is a visual sanity check of the gold image, not a pixel-level or pointwise data audit of every plotted value.</t>
  </si>
  <si>
    <t>NS4-019</t>
  </si>
  <si>
    <t>In WACHEM, compute the La/Yb ratio (a light-to-heavy rare-earth fractionation index) and list the 10 most fractionated samples with their lithology.</t>
  </si>
  <si>
    <t>NS4-028</t>
  </si>
  <si>
    <t>In the WACHEM dataset, how does iron reported as an element compare with iron reported as an oxide? Give the median of each and the ratio between them.</t>
  </si>
  <si>
    <t>NS4-036</t>
  </si>
  <si>
    <t>Which elements are measured together with gold most often in surface samples?</t>
  </si>
  <si>
    <t>7</t>
  </si>
  <si>
    <t>The supplied sql code executes successfully and the independent rerun reproduces the supplied 7-row result exactly: row count, columns and values all match. No duplicate rows were found. No negative-value or sentinel-value issues were identified.</t>
  </si>
  <si>
    <t>NS4-038</t>
  </si>
  <si>
    <t>Draw overlaid log-scale histograms of copper and nickel in soil.</t>
  </si>
  <si>
    <t>NS4-038.png</t>
  </si>
  <si>
    <t>NS4-038_rerun.png</t>
  </si>
  <si>
    <t>The code executes successfully and an independent rerun PNG was generated (NS4-038_rerun.png alongside the supplied NS4-038.png); both exist on disk. Exact pixel equality is not expected or required. The supplied gold image was visually inspected against the question text: the chart/map type, data selection, and labelling appear to genuinely answer what was asked, with no readability, mislabelling, or filtering problem identified. This is a visual sanity check of the gold image, not a pixel-level or pointwise data audit of every plotted value.</t>
  </si>
  <si>
    <t>NS4-042</t>
  </si>
  <si>
    <t>What water types are present? Classify groundwater by dominant cation and dominant anion.</t>
  </si>
  <si>
    <t>The supplied sql code executes successfully and the independent rerun reproduces the supplied 9-row result exactly: row count, columns and values all match. No duplicate rows were found. No negative-value or sentinel-value issues were identified.</t>
  </si>
  <si>
    <t>Which samples have the strongest multi-element anomaly? Combine gold, arsenic and copper into one score.</t>
  </si>
  <si>
    <t>NS4-046_rerun.csv</t>
  </si>
  <si>
    <t>{'latitude': 15}</t>
  </si>
  <si>
    <t>The supplied Python code executes successfully and the rerun reproduces the supplied 15-row result exactly (row count, columns and values match; the 15 negative numeric cells are all valid southern-hemisphere latitude values, not sentinel data). The z-score-of-log10 combination of Au, As and Cu into one multi-element score is a reasonable, appropriately R-shortcut-aware operational definition (the code also reports rank_by_naive_sum for comparison). However, before scoring, the code restricts each element to 0 &lt; value &lt; 100,000 ppm and additionally restricts Au to &lt; 100 ppm — neither upper cutoff is stated in the question ('Which samples have the strongest multi-element anomaly?'). The reported top-15 samples therefore represent the strongest combined anomaly within this filtered validity range, not necessarily among all measured Au/As/Cu values.</t>
  </si>
  <si>
    <t>NS4-047</t>
  </si>
  <si>
    <t>How many surface samples have a complete base-metal suite of copper, lead and zinc?</t>
  </si>
  <si>
    <t>The supplied python code executes successfully and the independent rerun reproduces the supplied 4-row result exactly: row count, columns and values all match. No duplicate rows were found. No negative-value or sentinel-value issues were identified.</t>
  </si>
  <si>
    <t>NS4-049</t>
  </si>
  <si>
    <t>Is the copper-zinc ratio different between sample media? Give the median ratio per medium.</t>
  </si>
  <si>
    <t>NS5-019</t>
  </si>
  <si>
    <t>Draw a stacked bar chart of sample counts by medium for the 8 WAMEX reports with the most samples.</t>
  </si>
  <si>
    <t>NS5-019.png</t>
  </si>
  <si>
    <t>NS5-019_rerun.png</t>
  </si>
  <si>
    <t>The code executes successfully and an independent rerun PNG was generated (NS5-019_rerun.png alongside the supplied NS5-019.png); both exist on disk. Exact pixel equality is not expected or required. The supplied gold image was visually inspected against the question text: the chart/map type, data selection, and labelling appear to genuinely answer what was asked, with no readability, mislabelling, or filtering problem identified. This is a visual sanity check of the gold image, not a pixel-level or pointwise data audit of every plotted value.</t>
  </si>
  <si>
    <t>NS5-020</t>
  </si>
  <si>
    <t>Compare the gold distribution across the four sampling media with overlaid ECDF curves on a log x-axis.</t>
  </si>
  <si>
    <t>NS5-020.png</t>
  </si>
  <si>
    <t>NS5-020_rerun.png</t>
  </si>
  <si>
    <t>The code executes successfully and an independent rerun PNG was generated (NS5-020_rerun.png alongside the supplied NS5-020.png); both exist on disk. Exact pixel equality is not expected or required. The supplied gold image was visually inspected against the question text: the chart/map type, data selection, and labelling appear to genuinely answer what was asked, with no readability, mislabelling, or filtering problem identified. This is a visual sanity check of the gold image, not a pixel-level or pointwise data audit of every plotted value.</t>
  </si>
  <si>
    <t>Compare gold distributions across the three main sample media with overlaid log-scale histograms.</t>
  </si>
  <si>
    <t>NS5-031_rerun.png</t>
  </si>
  <si>
    <t>The code executes successfully and both the supplied NS5-031.png and the rerun NS5-031_rerun.png were visually inspected: they are structurally identical (reproducible), but neither achieves the question's goal of comparing gold distributions across the three sample media. The gold code builds bins with np.logspace(...) and then calls ax.hist(v, bins=bins, density=True, ...) with a linear x-scale density normalisation. Because the first log-spaced bin near the data minimum has an extremely small width in linear ppm units, its density value (count / (n * linear_bin_width)) is driven up to roughly 400,000 in both images, while every other bin — including the entirety of the much smaller rock_chip and stream_sed series — is compressed to a near-invisible line at the bottom of the same axis. The soil curve's shape and the other two media's curves cannot be visually compared as the question asks; the y-axis is also labelled 'Density' even though it is not a per-unit-log-interval density, which would need normalising by the log of the bin width (or plotting log10(Au) on a linear-binned axis) to be comparable across bins of very different linear width.</t>
  </si>
  <si>
    <t>NS5-034</t>
  </si>
  <si>
    <t>Map copper in the Kalgoorlie box so that both the regional background and the anomalies are readable in one figure.</t>
  </si>
  <si>
    <t>NS5-034.png</t>
  </si>
  <si>
    <t>NS5-034_rerun.png</t>
  </si>
  <si>
    <t>The code executes successfully and an independent rerun PNG was generated (NS5-034_rerun.png alongside the supplied NS5-034.png); both exist on disk. Exact pixel equality is not expected or required. The supplied gold image was visually inspected against the question text: the chart/map type, data selection, and labelling appear to genuinely answer what was asked, with no readability, mislabelling, or filtering problem identified. This is a visual sanity check of the gold image, not a pixel-level or pointwise data audit of every plotted value.</t>
  </si>
  <si>
    <t>NS5-049</t>
  </si>
  <si>
    <t>Prepare a plot-ready extract of the greenstone belt outlines in the Kalgoorlie box, with belt name and area.</t>
  </si>
  <si>
    <t>NS5-049.csv</t>
  </si>
  <si>
    <t>NS5-049_rerun.csv</t>
  </si>
  <si>
    <t>NS5-051</t>
  </si>
  <si>
    <t>Prepare counts of drill holes per hole type for a pie or bar chart, keeping only types with at least 1000 holes.</t>
  </si>
  <si>
    <t>The supplied sql code executes successfully and the independent rerun reproduces the supplied 8-row result exactly: row count, columns and values all match. No duplicate rows were found. No negative-value or sentinel-value issues were identified.</t>
  </si>
  <si>
    <t>NS5-052</t>
  </si>
  <si>
    <t>Prepare a spatial aggregation of soil gold onto 5 km cells: cell centre, sample count and median gold.</t>
  </si>
  <si>
    <t>427</t>
  </si>
  <si>
    <t>NS5-052.csv</t>
  </si>
  <si>
    <t>NS5-052_rerun.csv</t>
  </si>
  <si>
    <t>The supplied geopandas code executes successfully and the independent rerun reproduces the supplied 427-row result exactly: row count, columns and values all match. No duplicate rows were found. No negative-value or sentinel-value issues were identified.</t>
  </si>
  <si>
    <t>NS5-054</t>
  </si>
  <si>
    <t>Draw the two trilinear fields of a Piper diagram for the groundwater analyses: cations and anions in milliequivalent percent.</t>
  </si>
  <si>
    <t>NS5-054.png</t>
  </si>
  <si>
    <t>NS5-054_rerun.png</t>
  </si>
  <si>
    <t>The code executes successfully and an independent rerun PNG was generated (NS5-054_rerun.png alongside the supplied NS5-054.png); both exist on disk. Exact pixel equality is not expected or required. The supplied gold image was visually inspected against the question text: the chart/map type, data selection, and labelling appear to genuinely answer what was asked, with no readability, mislabelling, or filtering problem identified. This is a visual sanity check of the gold image, not a pixel-level or pointwise data audit of every plotted value.</t>
  </si>
  <si>
    <t>CD1-020</t>
  </si>
  <si>
    <t>CD-1</t>
  </si>
  <si>
    <t>Cross-database: how many GSWA WACHEM reference samples lie within 2 km of an A-database collar, broken down by the collar's region?</t>
  </si>
  <si>
    <t>CD1-020.csv</t>
  </si>
  <si>
    <t>Reference checked; not rerun</t>
  </si>
  <si>
    <t>Not independently compared</t>
  </si>
  <si>
    <t>Not independently regenerated.</t>
  </si>
  <si>
    <t>Reference file exists and its data-row count was checked against Expected Rows; query result was not independently regenerated.</t>
  </si>
  <si>
    <t>CD1-028</t>
  </si>
  <si>
    <t>Using SQL spatial functions, count the rock chip samples lying within 2 km of a MINEDEX site whose primary commodity is gold.</t>
  </si>
  <si>
    <t>CD1-028.csv</t>
  </si>
  <si>
    <t>CD1-031</t>
  </si>
  <si>
    <t>How many creek-sediment samples sit close to a hole that hit better than one percent nickel? Close means half a kilometre.</t>
  </si>
  <si>
    <t>CD1-031.csv</t>
  </si>
  <si>
    <t>CD1-039</t>
  </si>
  <si>
    <t>Within the Kalgoorlie box (longitude 121.0 to 122.0, latitude -32.0 to -30.5), give each greenstone belt's surface sample count, drill hole count, and the ratio between them.</t>
  </si>
  <si>
    <t>CD1-039.csv</t>
  </si>
  <si>
    <t>CD1-044</t>
  </si>
  <si>
    <t>Which sedimentary basins contain drill holes, and how many in each?</t>
  </si>
  <si>
    <t>CD1-044.csv</t>
  </si>
  <si>
    <t>CD1-049</t>
  </si>
  <si>
    <t>How many holes sit inside a mapped geological unit in the Kalgoorlie box?</t>
  </si>
  <si>
    <t>CD1-049.csv</t>
  </si>
  <si>
    <t>Which of the four A-database regions has the most surface samples per drill hole in its bounding box?</t>
  </si>
  <si>
    <t>CD2-018.csv</t>
  </si>
  <si>
    <t>Independently rerun</t>
  </si>
  <si>
    <t>Generated 4 regional rows; count differences listed in finding.</t>
  </si>
  <si>
    <t>Independent rerun differs from gold sample counts by region (R4 64,164 vs 64,514; R2 208,355 vs 208,366; R1 534,979 vs 534,994; R3 1,300 vs 1,302). Rerun used collar coordinate extents as regional boxes; confirm the intended regional bounding boxes before replacing the supplied gold values.</t>
  </si>
  <si>
    <t>CD2-022</t>
  </si>
  <si>
    <t>How strong is the link between surface and subsurface gold? For soil samples within 500 m of a hole, compute the correlation between the sample's gold and that hole's maximum downhole gold, using log-transformed values.</t>
  </si>
  <si>
    <t>CD2-022.csv</t>
  </si>
  <si>
    <t>CD2-026</t>
  </si>
  <si>
    <t>Two ways of describing what a hole found: for soil gold anomalies with a hole within 1 km in the Kalgoorlie-Kambalda region, compute the correlation between the surface value and (a) the hole's single highest assay, and (b) the hole's best 4 m composited intercept. Report both correlations and say whether the two give the same conclusion.</t>
  </si>
  <si>
    <t>CD2-026.csv</t>
  </si>
  <si>
    <t>What is the ore reserve of the Kambalda nickel operation, in tonnes and grade?</t>
  </si>
  <si>
    <t>CD2-033.txt</t>
  </si>
  <si>
    <t>TEXT</t>
  </si>
  <si>
    <t>N/A — image/text output</t>
  </si>
  <si>
    <t>Valid refusal</t>
  </si>
  <si>
    <t>Independent schema/refusal check</t>
  </si>
  <si>
    <t>Database schema independently checked; reserve tonnes and grade are not stored in the supplied database.</t>
  </si>
  <si>
    <t>The correct response is to refuse the requested reserve tonnes/grade: the supplied mineral_site schema has no reserve or resource estimate fields.</t>
  </si>
  <si>
    <t>CD2-039</t>
  </si>
  <si>
    <t>For copper, compare the number of usable measurements and the median grade between the surface and drill-hole databases.</t>
  </si>
  <si>
    <t>CD2-039.csv</t>
  </si>
  <si>
    <t>2 rows; exact match.</t>
  </si>
  <si>
    <t>Rerun output matches supplied gold after ignoring row order and applying reference display precision.</t>
  </si>
  <si>
    <t>CD2-040</t>
  </si>
  <si>
    <t>Do the surface and drill-hole databases agree on which elements are best measured? Rank the ten most-measured elements on each side.</t>
  </si>
  <si>
    <t>CD2-040.csv</t>
  </si>
  <si>
    <t>CD2-045</t>
  </si>
  <si>
    <t>Draw overlaid log histograms comparing gold in surface samples against gold in drill hole assays.</t>
  </si>
  <si>
    <t>CD2-045.png</t>
  </si>
  <si>
    <t>IMAGE</t>
  </si>
  <si>
    <t>Reference PNG is present; independent image regeneration/comparison was not performed.</t>
  </si>
  <si>
    <t>CD2-049</t>
  </si>
  <si>
    <t>Compare tantalum between surface and drill holes — the drill hole side reports some very high values. Are they credible?</t>
  </si>
  <si>
    <t>CD2-049.csv</t>
  </si>
  <si>
    <t>CD3-018</t>
  </si>
  <si>
    <t>CD-3</t>
  </si>
  <si>
    <t>Within the Kambalda box (lon 121.5-121.8, lat -31.3 to -31.1), how many soil gold anomalies above 100 ppb are there, and how many drill holes, as a first look at how much follow-up exists?</t>
  </si>
  <si>
    <t>CD3-018.csv</t>
  </si>
  <si>
    <t>1 row; exact match (36 anomalies, 28,421 holes, 789.47 holes per anomaly).</t>
  </si>
  <si>
    <t>CD3-019</t>
  </si>
  <si>
    <t>Which mapped ultramafic polygons contain nickel-anomalous soil samples (above 500 ppm) but have no drill hole inside them? List the ten largest such polygons.</t>
  </si>
  <si>
    <t>CD3-019.csv</t>
  </si>
  <si>
    <t>CD3-020</t>
  </si>
  <si>
    <t>Which WAROX field observations that mention mineralisation or gossan have no drill hole within 1 km? List ten examples with the observation notes.</t>
  </si>
  <si>
    <t>CD3-020.csv</t>
  </si>
  <si>
    <t>Reference file has 10 data rows, matching the workbook expectation. The field n_targets_total=885 is a result value, not the file row count.</t>
  </si>
  <si>
    <t>CD3-029</t>
  </si>
  <si>
    <t>In SQL, count the soil samples with gold above 100 ppb that have no drill collar within 2 km, restricted to the Kalgoorlie-Kambalda box (longitude 121 to 122, latitude -32 to -30.5).</t>
  </si>
  <si>
    <t>CD3-029.csv</t>
  </si>
  <si>
    <t>CD3-034</t>
  </si>
  <si>
    <t>Find the undrilled gold targets near Kambalda.</t>
  </si>
  <si>
    <t>CD3-034.csv</t>
  </si>
  <si>
    <t>CD3-035</t>
  </si>
  <si>
    <t>Rank the undrilled soil gold anomalies in the Kambalda box by how promising they are, and show your ranking basis.</t>
  </si>
  <si>
    <t>CD3-035.csv</t>
  </si>
  <si>
    <t>CD3-040</t>
  </si>
  <si>
    <t>In the Kalgoorlie-to-Leonora window (longitude 120.5 to 122.5, latitude -32.0 to -28.5), which greenstone belts have surface samples but no drilling at all?</t>
  </si>
  <si>
    <t>CD3-040.csv</t>
  </si>
  <si>
    <t>CD3-043</t>
  </si>
  <si>
    <t>Find the pegmatites worth following up for lithium.</t>
  </si>
  <si>
    <t>CD3-043.csv</t>
  </si>
  <si>
    <t>CD3-056</t>
  </si>
  <si>
    <t>How many sedimentary basins have no mineral occurrences recorded inside them?</t>
  </si>
  <si>
    <t>CD3-056.csv</t>
  </si>
  <si>
    <t>CD4-018</t>
  </si>
  <si>
    <t>CD-4</t>
  </si>
  <si>
    <t>Small multiples: for each of the four A-database regions, draw one panel showing drill collars and surface samples in that region's box.</t>
  </si>
  <si>
    <t>CD4-018.png</t>
  </si>
  <si>
    <t>CD4-024</t>
  </si>
  <si>
    <t>Two-panel scale comparison for the Kalgoorlie-Kambalda box: left, the statewide context with the box outlined; right, the box itself with samples and holes.</t>
  </si>
  <si>
    <t>CD4-024.png</t>
  </si>
  <si>
    <t>CD4-027</t>
  </si>
  <si>
    <t>Plot surface samples and drill collars for the Leonora-Murrin box (longitude 121.25 to 122.25, latitude -29.5 to -28.75) as two layers on one chart.</t>
  </si>
  <si>
    <t>CD4-027.png</t>
  </si>
  <si>
    <t>CD4-030</t>
  </si>
  <si>
    <t>Show me whether the gold sits on the faults around Kalgoorlie — I want the fault lines and the drilling on one picture.</t>
  </si>
  <si>
    <t>CD4-030.png</t>
  </si>
  <si>
    <t>CD4-034</t>
  </si>
  <si>
    <t>Map surface magnesium against the greenstone belts — magnesium should track the ultramafic rocks.</t>
  </si>
  <si>
    <t>CD4-034.png</t>
  </si>
  <si>
    <t>CD4-036</t>
  </si>
  <si>
    <t>Prepare a table for a two-layer map: per greenstone belt, the belt name, its area in square kilometres, and how many drill holes it contains.</t>
  </si>
  <si>
    <t>CD4-036.csv</t>
  </si>
  <si>
    <t>CD4-045</t>
  </si>
  <si>
    <t>Prepare a plot-ready table of greenstone belt names and centroids in the Kalgoorlie box, for map labelling.</t>
  </si>
  <si>
    <t>CD4-045.csv</t>
  </si>
  <si>
    <t>CD4-046</t>
  </si>
  <si>
    <t>Prepare 2 km buffers around gold mineral occurrences in the Kalgoorlie box, and count drill holes inside each buffer.</t>
  </si>
  <si>
    <t>CD4-046.csv</t>
  </si>
  <si>
    <t>CD4-050</t>
  </si>
  <si>
    <t>Prepare clipped layers for a Kambalda map: greenstone belts, faults and mineral occurrences within the box, with feature counts.</t>
  </si>
  <si>
    <t>CD4-050.csv</t>
  </si>
  <si>
    <t>NS1-017</t>
  </si>
  <si>
    <t>NS-1</t>
  </si>
  <si>
    <t>List the 1:250k map sheets released before 1980, with sheet name, sheet number, release year and the horizontal datum used.</t>
  </si>
  <si>
    <t>NS1-017.csv</t>
  </si>
  <si>
    <t>69 rows; exact match.</t>
  </si>
  <si>
    <t>NS1-020</t>
  </si>
  <si>
    <t>List groundwater analyses sampled during 2005, showing bore name, sample date, pH and TDS.</t>
  </si>
  <si>
    <t>NS1-020.csv</t>
  </si>
  <si>
    <t>312 rows; exact match.</t>
  </si>
  <si>
    <t>NS1-031</t>
  </si>
  <si>
    <t>How much manganese is in the surface samples? Give the count and median for each sample medium.</t>
  </si>
  <si>
    <t>NS1-031.csv</t>
  </si>
  <si>
    <t>4 rows; exact match after displayed rounding.</t>
  </si>
  <si>
    <t>NS1-033</t>
  </si>
  <si>
    <t>Which rock chip samples are anomalous in both tantalum and tin? These are pegmatite indicators.</t>
  </si>
  <si>
    <t>NS1-033.csv</t>
  </si>
  <si>
    <t>NS1-042</t>
  </si>
  <si>
    <t>Does the aluminium reported as Al2O3 percent agree with the aluminium reported in ppm? Check on the samples that have both.</t>
  </si>
  <si>
    <t>NS1-042.csv</t>
  </si>
  <si>
    <t>1 row; exact match after displayed rounding and Al₂O₃-to-Al factor 0.52925.</t>
  </si>
  <si>
    <t>NS1-048</t>
  </si>
  <si>
    <t>Are rare earth elements measured anywhere in this database? Which ones, and in how many samples?</t>
  </si>
  <si>
    <t>NS1-048.csv</t>
  </si>
  <si>
    <t>8 rows; exact match.</t>
  </si>
  <si>
    <t>NS2-022</t>
  </si>
  <si>
    <t>NS-2</t>
  </si>
  <si>
    <t>What is the typical gold value in soil samples?</t>
  </si>
  <si>
    <t>NS2-022.csv</t>
  </si>
  <si>
    <t>1 row; exact match.</t>
  </si>
  <si>
    <t>NS2-024</t>
  </si>
  <si>
    <t>Combine both surface geochemistry sources (the main sample table and the WACHEM reference set) and report, per source, how many samples have gold above 100 ppb.</t>
  </si>
  <si>
    <t>NS2-024.csv</t>
  </si>
  <si>
    <t>NS2-034</t>
  </si>
  <si>
    <t>How skewed are geochemical distributions? For gold, copper and nickel in soil, give mean, median and the ratio between them.</t>
  </si>
  <si>
    <t>NS2-034.csv</t>
  </si>
  <si>
    <t>3 rows; exact match using the reference range filters (Au &lt;100 ppm; Cu/Ni &lt;100,000 ppm).</t>
  </si>
  <si>
    <t>NS2-035</t>
  </si>
  <si>
    <t>Do different sample media give different background levels? Compare median gold, copper and arsenic across soil, rock chip and stream sediment.</t>
  </si>
  <si>
    <t>NS2-035.csv</t>
  </si>
  <si>
    <t>3 rows; exact match using the same assay-validity limits as the reference.</t>
  </si>
  <si>
    <t>NS2-036</t>
  </si>
  <si>
    <t>How many separate exploration reports contributed surface samples, and how big is a typical report's sample set?</t>
  </si>
  <si>
    <t>NS2-036.csv</t>
  </si>
  <si>
    <t>NS2-037</t>
  </si>
  <si>
    <t>Is the sampling evenly spread? For the Kalgoorlie box, give the distribution of sample counts across 5 km cells.</t>
  </si>
  <si>
    <t>NS2-037.csv</t>
  </si>
  <si>
    <t>NS2-040</t>
  </si>
  <si>
    <t>Draw a bar chart comparing the median gold value across the four sample media.</t>
  </si>
  <si>
    <t>NS2-040.png</t>
  </si>
  <si>
    <t>NS2-045</t>
  </si>
  <si>
    <t>Thorium and uranium are often measured together. How do their levels compare, and what is the typical Th/U ratio?</t>
  </si>
  <si>
    <t>NS2-045.csv</t>
  </si>
  <si>
    <t>1 row; exact match after displayed rounding.</t>
  </si>
  <si>
    <t>NS2-051</t>
  </si>
  <si>
    <t>What proportion of the WA geochemistry samples have a recorded lithology name?</t>
  </si>
  <si>
    <t>NS2-051.csv</t>
  </si>
  <si>
    <t>NS2-055</t>
  </si>
  <si>
    <t>Draw violin plots comparing copper distributions across the four sample media.</t>
  </si>
  <si>
    <t>NS2-055.png</t>
  </si>
  <si>
    <t>NS3-021</t>
  </si>
  <si>
    <t>NS-3</t>
  </si>
  <si>
    <t>What lithology is mapped at the location of the 10 highest measured soil gold samples? Report sample value and the mapped rock type.</t>
  </si>
  <si>
    <t>NS3-021.csv</t>
  </si>
  <si>
    <t>NS3-023</t>
  </si>
  <si>
    <t>How far apart are the townsites of Kalgoorlie-area Kambalda and Coolgardie, in kilometres?</t>
  </si>
  <si>
    <t>NS3-023.csv</t>
  </si>
  <si>
    <t>NS3-032</t>
  </si>
  <si>
    <t>How many surface samples fall inside mapped pegmatite bodies, and what is their lithium content?</t>
  </si>
  <si>
    <t>NS3-032.csv</t>
  </si>
  <si>
    <t>NS3-045</t>
  </si>
  <si>
    <t>Which geological rock types host the most mineral occurrences?</t>
  </si>
  <si>
    <t>NS3-045.csv</t>
  </si>
  <si>
    <t>NS3-046</t>
  </si>
  <si>
    <t>How many field observations fall inside greenstone belts?</t>
  </si>
  <si>
    <t>NS3-046.csv</t>
  </si>
  <si>
    <t>NS3-048</t>
  </si>
  <si>
    <t>Draw an interpolated contour map of soil gold in the Kambalda box, gridding the samples onto a regular surface.</t>
  </si>
  <si>
    <t>NS3-048.png</t>
  </si>
  <si>
    <t>Data QC on WACHEM: for whole-rock analyses, the major oxides plus loss-on-ignition should total close to 100%. How many samples have a total below 95% or above 105%?</t>
  </si>
  <si>
    <t>NS4-017.csv</t>
  </si>
  <si>
    <t>1 row; mismatch detailed in finding.</t>
  </si>
  <si>
    <t>Independent oxide-total QC rerun does not match the supplied gold summary (rerun: 13,779 in 95–105, 35,328 below 95, 141 above 105, median −9,904.49; gold: 27,050, 22,026, 8, median 98.01). Sentinel/missing-value and iron-oxide field handling must be confirmed; preserve the supplied gold values as the current reference.</t>
  </si>
  <si>
    <t>NS4-025</t>
  </si>
  <si>
    <t>Build a simple base-metal index for stream sediments: for Cu, Pb and Zn, convert each measured value to its percentile rank within the medium, then average the three ranks. List the 10 highest-scoring samples.</t>
  </si>
  <si>
    <t>NS4-025.csv</t>
  </si>
  <si>
    <t>NS4-029</t>
  </si>
  <si>
    <t>Porphyry-style signature: in rock chips, compute the Mo/Cu ratio for samples where both are measured and copper exceeds 100 ppm, and report the ten with the highest ratio along with their gold value.</t>
  </si>
  <si>
    <t>NS4-029.csv</t>
  </si>
  <si>
    <t>10 rows; exact match.</t>
  </si>
  <si>
    <t>NS4-034</t>
  </si>
  <si>
    <t>Find the samples that are anomalous in nickel, copper and cobalt at once — a magmatic sulphide signature.</t>
  </si>
  <si>
    <t>NS4-034.csv</t>
  </si>
  <si>
    <t>1 row; exact match after applying the 100,000 ppm ceiling and separate 98th-percentile thresholds.</t>
  </si>
  <si>
    <t>NS4-035</t>
  </si>
  <si>
    <t>What is the gold-to-arsenic ratio in soil, and where is it highest?</t>
  </si>
  <si>
    <t>NS4-035.csv</t>
  </si>
  <si>
    <t>NS4-043</t>
  </si>
  <si>
    <t>Map where the nickel-chromium association is strongest: 5 km cells in the Kalgoorlie box ranked by median Ni and Cr together.</t>
  </si>
  <si>
    <t>NS4-043.csv</t>
  </si>
  <si>
    <t>NS4-052</t>
  </si>
  <si>
    <t>Which pairs among gold, arsenic, antimony and bismuth are most often measured together?</t>
  </si>
  <si>
    <t>NS4-052.csv</t>
  </si>
  <si>
    <t>NS4-054</t>
  </si>
  <si>
    <t>Draw a ternary diagram of nickel, copper and cobalt proportions in surface samples, to show the magmatic sulphide association.</t>
  </si>
  <si>
    <t>NS4-054.png</t>
  </si>
  <si>
    <t>NS5-021</t>
  </si>
  <si>
    <t>NS-5</t>
  </si>
  <si>
    <t>Draw a horizontal bar chart of the 15 largest mapped paleovalleys by area.</t>
  </si>
  <si>
    <t>NS5-021.png</t>
  </si>
  <si>
    <t>NS5-022</t>
  </si>
  <si>
    <t>Draw a 3x3 scatter-matrix of Cu, Ni and Cr in stream sediments on log axes, with histograms on the diagonal.</t>
  </si>
  <si>
    <t>NS5-022.png</t>
  </si>
  <si>
    <t>NS5-032</t>
  </si>
  <si>
    <t>Draw a scatter of arsenic against gold in soil on log-log axes, to show the pathfinder relationship.</t>
  </si>
  <si>
    <t>NS5-032.png</t>
  </si>
  <si>
    <t>NS5-037</t>
  </si>
  <si>
    <t>Draw a bar chart of groundwater water types by dominant cation.</t>
  </si>
  <si>
    <t>NS5-037.png</t>
  </si>
  <si>
    <t>NS5-039</t>
  </si>
  <si>
    <t>Prepare a percentile table for soil copper: the 10th through 99.9th percentiles.</t>
  </si>
  <si>
    <t>NS5-039.csv</t>
  </si>
  <si>
    <t>1 row; exact match using 0 &lt; Cu &lt; 100,000 ppm; displayed quartiles match.</t>
  </si>
  <si>
    <t>NS5-042</t>
  </si>
  <si>
    <t>Prepare data for a classified anomaly map: assign each Kalgoorlie soil sample to a percentile class of gold.</t>
  </si>
  <si>
    <t>NS5-042.csv</t>
  </si>
  <si>
    <t>NS5-046</t>
  </si>
  <si>
    <t>Prepare data for a stacked bar of sample medium by map sheet: the ten sheets with the most samples.</t>
  </si>
  <si>
    <t>NS5-046.csv</t>
  </si>
  <si>
    <t>NS5-055</t>
  </si>
  <si>
    <t>Show how soil gold varies between the four sample media in a single chart.</t>
  </si>
  <si>
    <t>NS5-055.png</t>
  </si>
  <si>
    <t>CD1-019</t>
  </si>
  <si>
    <t>For each groundwater bore, how far is the nearest drill hole? Report the quartiles of that distance.</t>
  </si>
  <si>
    <t>CD1-019.csv</t>
  </si>
  <si>
    <t>{}</t>
  </si>
  <si>
    <t>Independent execution reproduced all 1 supplied rows, columns and values (comparison ignores row order and tolerates six-decimal floating-point representation differences). No returned sentinel values were found.</t>
  </si>
  <si>
    <t>CD1-035</t>
  </si>
  <si>
    <t>How many mineral occurrences fall inside the Kalgoorlie-Kambalda box (longitude 121.0 to 122.0, latitude -32.0 to -30.5), and how many drill holes are in that region?</t>
  </si>
  <si>
    <t>CD1-035.csv</t>
  </si>
  <si>
    <t>Independent execution reproduced all 2 supplied rows, columns and values (comparison ignores row order and tolerates six-decimal floating-point representation differences). No returned sentinel values were found.</t>
  </si>
  <si>
    <t>CD1-037</t>
  </si>
  <si>
    <t>Which townsite is closest to the Kambalda drilling centre at longitude 121.65, latitude -31.2, and how far is it in kilometres?</t>
  </si>
  <si>
    <t>CD1-037.csv</t>
  </si>
  <si>
    <t>Independent execution reproduced all 5 supplied rows, columns and values (comparison ignores row order and tolerates six-decimal floating-point representation differences). No returned sentinel values were found.</t>
  </si>
  <si>
    <t>CD1-047</t>
  </si>
  <si>
    <t>Which geological formations host the most drilling? Join collars to the mapped geology and rank by hole count.</t>
  </si>
  <si>
    <t>CD1-047.csv</t>
  </si>
  <si>
    <t>Independent execution reproduced all 15 supplied rows, columns and values (comparison ignores row order and tolerates six-decimal floating-point representation differences). No returned sentinel values were found.</t>
  </si>
  <si>
    <t>CD1-050</t>
  </si>
  <si>
    <t>How many greenstone belts are there in total, and how many contain at least one drill hole?</t>
  </si>
  <si>
    <t>CD1-050.csv</t>
  </si>
  <si>
    <t>CD1-051</t>
  </si>
  <si>
    <t>For each region, what is the median distance from a drill hole to the nearest surface sample?</t>
  </si>
  <si>
    <t>CD1-051.csv</t>
  </si>
  <si>
    <t>Independent execution reproduced all 4 supplied rows, columns and values (comparison ignores row order and tolerates six-decimal floating-point representation differences). No returned sentinel values were found.</t>
  </si>
  <si>
    <t>CD1-053</t>
  </si>
  <si>
    <t>Draw a bar chart comparing, per region, the number of drill holes against the number of surface samples.</t>
  </si>
  <si>
    <t>CD1-053.png</t>
  </si>
  <si>
    <t>Independent execution reproduced the visual. Perceptual hash similarity is 100.0%; the different pixel dimensions are caused by the verification export DPI. No sentinel values are displayed in the plotted data.</t>
  </si>
  <si>
    <t>CD2-017</t>
  </si>
  <si>
    <t>Do groundwater gold anomalies sit near high-grade drilling? Compare the median maximum downhole gold of holes within 2 km of bores with Au above 50 ng/L against holes near bores below that level.</t>
  </si>
  <si>
    <t>CD2-017.csv</t>
  </si>
  <si>
    <t>CD2-027</t>
  </si>
  <si>
    <t>For the strongest plausible soil gold anomaly in the Kambalda box (lon 121.5-121.8, lat -31.3 to -31.1), what did the nearest drill hole actually return? Give the hole's single best assay, its length-weighted average over all assayed metres, and its best 4 m composite, and say which of the three best answers the question.</t>
  </si>
  <si>
    <t>CD2-027.csv</t>
  </si>
  <si>
    <t>CD2-029.csv</t>
  </si>
  <si>
    <t>CD2-032</t>
  </si>
  <si>
    <t>Compare gold endowment between the Pilbara-Newman and Kalgoorlie-Kambalda regions using the drillhole assays.</t>
  </si>
  <si>
    <t>CD2-032.csv</t>
  </si>
  <si>
    <t>CD2-038</t>
  </si>
  <si>
    <t>Tin is mostly a Pilbara story underground. Does the surface data agree? Compare tin by sample medium against tin by drilling region.</t>
  </si>
  <si>
    <t>CD2-038.csv</t>
  </si>
  <si>
    <t>Independent execution reproduced all 8 supplied rows, columns and values (comparison ignores row order and tolerates six-decimal floating-point representation differences). No returned sentinel values were found.</t>
  </si>
  <si>
    <t>CD2-044</t>
  </si>
  <si>
    <t>How many holes have a pre-summarised peak-grade record, and how does that compare with the number of holes that have raw assay intervals?</t>
  </si>
  <si>
    <t>CD2-044.csv</t>
  </si>
  <si>
    <t>Independent execution reproduced all 3 supplied rows, columns and values (comparison ignores row order and tolerates six-decimal floating-point representation differences). No returned sentinel values were found.</t>
  </si>
  <si>
    <t>CD2-048</t>
  </si>
  <si>
    <t>Do the rock names recorded in the field match the lithology codes logged in drill holes? Compare the two vocabularies by size.</t>
  </si>
  <si>
    <t>CD2-048.csv</t>
  </si>
  <si>
    <t>CD2-052</t>
  </si>
  <si>
    <t>Draw a grouped bar chart comparing median grade on the surface side against the drill hole side for five elements.</t>
  </si>
  <si>
    <t>CD2-052.png</t>
  </si>
  <si>
    <t>Independent execution reproduced the visual. Perceptual hash similarity is 99.8%; the different pixel dimensions are caused by the verification export DPI. No sentinel values are displayed in the plotted data.</t>
  </si>
  <si>
    <t>CD3-016</t>
  </si>
  <si>
    <t>Which 1:250k map sheets contain surface samples but no drill holes at all? List them with their sample counts.</t>
  </si>
  <si>
    <t>CD3-016.csv</t>
  </si>
  <si>
    <t>CD3-025</t>
  </si>
  <si>
    <t>Where has drilling gone without surface sampling? Count drill holes with no surface sample within 500 m, broken down by region.</t>
  </si>
  <si>
    <t>CD3-025.csv</t>
  </si>
  <si>
    <t>CD3-027</t>
  </si>
  <si>
    <t>At map-sheet scale: which 1:250k map sheets contain soil gold anomalies above 100 ppb but contain no drill hole with a significant intercept (4 m at 0.5 g/t) anywhere on the sheet? List them with their anomaly counts.</t>
  </si>
  <si>
    <t>CD3-027.csv</t>
  </si>
  <si>
    <t>Independent execution reproduced all 88 supplied rows, columns and values (comparison ignores row order and tolerates six-decimal floating-point representation differences). No returned sentinel values were found.</t>
  </si>
  <si>
    <t>CD3-028</t>
  </si>
  <si>
    <t>Two-stage targeting: first find which greenstone terrane has the highest rate of soil gold anomalies above 100 ppb. Then, within that terrane only, list the ten strongest anomalies that have no drill hole within 2 km.</t>
  </si>
  <si>
    <t>CD3-028.csv</t>
  </si>
  <si>
    <t>Independent execution reproduced all 10 supplied rows, columns and values (comparison ignores row order and tolerates six-decimal floating-point representation differences). No returned sentinel values were found.</t>
  </si>
  <si>
    <t>CD3-033</t>
  </si>
  <si>
    <t>Which named basins contain surface samples but no drill holes at all? List them with sample counts.</t>
  </si>
  <si>
    <t>CD3-033.csv</t>
  </si>
  <si>
    <t>Independent execution reproduced all 100 supplied rows, columns and values (comparison ignores row order and tolerates six-decimal floating-point representation differences). No returned sentinel values were found.</t>
  </si>
  <si>
    <t>CD3-041</t>
  </si>
  <si>
    <t>Which mineral occurrences of any commodity have no drill hole within 5 km? Group the answer by commodity.</t>
  </si>
  <si>
    <t>CD3-041.csv</t>
  </si>
  <si>
    <t>CD3-048</t>
  </si>
  <si>
    <t>How many mineral occurrences have no field observation within 1 km of them?</t>
  </si>
  <si>
    <t>CD3-048.csv</t>
  </si>
  <si>
    <t>CD3-054</t>
  </si>
  <si>
    <t>Which named palaeovalleys have surface samples but no drilling at all?</t>
  </si>
  <si>
    <t>CD3-054.csv</t>
  </si>
  <si>
    <t>CD4-019</t>
  </si>
  <si>
    <t>Not a map: scatter each soil gold anomaly's value against the maximum downhole gold of its nearest hole within 1 km, on log-log axes with a 1:1 reference line.</t>
  </si>
  <si>
    <t>CD4-019.png</t>
  </si>
  <si>
    <t>Independent execution reproduced the visual. Perceptual hash similarity is 99.5%; the different pixel dimensions are caused by the verification export DPI. No sentinel values are displayed in the plotted data.</t>
  </si>
  <si>
    <t>CD4-026.png</t>
  </si>
  <si>
    <t>CD4-031</t>
  </si>
  <si>
    <t>Map the tin occurrences against drilling in the Kalgoorlie-Kambalda region.</t>
  </si>
  <si>
    <t>CD4-031.png</t>
  </si>
  <si>
    <t>Independent execution reproduced the visual. Perceptual hash similarity is 98.3%; the different pixel dimensions are caused by the verification export DPI. No sentinel values are displayed in the plotted data.</t>
  </si>
  <si>
    <t>CD4-037</t>
  </si>
  <si>
    <t>Prepare a plot-ready table of fault segments in the Kalgoorlie box with their length in kilometres.</t>
  </si>
  <si>
    <t>CD4-037.csv</t>
  </si>
  <si>
    <t>{"centroid_lat": 20}</t>
  </si>
  <si>
    <t>Independent execution reproduced all 20 supplied rows, columns and values (comparison ignores row order and tolerates six-decimal floating-point representation differences). No returned sentinel values were found.</t>
  </si>
  <si>
    <t>CD4-041</t>
  </si>
  <si>
    <t>Draw the mineral occurrences of the Kalgoorlie box coloured by commodity, over the drilling.</t>
  </si>
  <si>
    <t>CD4-041.png</t>
  </si>
  <si>
    <t>Independent execution reproduced the visual. Perceptual hash similarity is 98.1%; the different pixel dimensions are caused by the verification export DPI. No sentinel values are displayed in the plotted data.</t>
  </si>
  <si>
    <t>CD4-043</t>
  </si>
  <si>
    <t>Build a table for a three-layer Kambalda map: counts of drill collars, surface samples and mineral occurrences inside the box.</t>
  </si>
  <si>
    <t>CD4-043.csv</t>
  </si>
  <si>
    <t>CD4-052</t>
  </si>
  <si>
    <t>Prepare choropleth class breaks for drilling intensity per map sheet: holes per square kilometre in five quantile classes.</t>
  </si>
  <si>
    <t>CD4-052.csv</t>
  </si>
  <si>
    <t>Independent execution reproduced all 11 supplied rows, columns and values (comparison ignores row order and tolerates six-decimal floating-point representation differences). No returned sentinel values were found.</t>
  </si>
  <si>
    <t>CD4-055</t>
  </si>
  <si>
    <t>Overlay an interpolated soil gold surface with the drill collars, so it is visible which anomalies have been tested.</t>
  </si>
  <si>
    <t>CD4-055.png</t>
  </si>
  <si>
    <t>Independent execution reproduced the visual. Perceptual hash similarity is 99.3%; the different pixel dimensions are caused by the verification export DPI. No sentinel values are displayed in the plotted data.</t>
  </si>
  <si>
    <t>NS1-016</t>
  </si>
  <si>
    <t>The sample-type lookup table maps messy field values to standard codes. Which standard sample type would a field value of 'Termite mound' fall under, and what is its full synonym list?</t>
  </si>
  <si>
    <t>NS1-016.csv</t>
  </si>
  <si>
    <t>NS1-018</t>
  </si>
  <si>
    <t>Which named sedimentary basins are classified as a 'Superbasin', and on which craton do they sit?</t>
  </si>
  <si>
    <t>NS1-018.csv</t>
  </si>
  <si>
    <t>NS1-027.csv</t>
  </si>
  <si>
    <t>NS1-028</t>
  </si>
  <si>
    <t>How many surface samples have a gold value?</t>
  </si>
  <si>
    <t>NS1-028.csv</t>
  </si>
  <si>
    <t>NS1-030</t>
  </si>
  <si>
    <t>What is the analytical detection limit for gold in the surface geochemistry dataset?</t>
  </si>
  <si>
    <t>NS1-030.txt</t>
  </si>
  <si>
    <t>Expected refusal</t>
  </si>
  <si>
    <t>Not assessed</t>
  </si>
  <si>
    <t>Pass: this question is not answerable from the delivered schema because surface_assay contains no analytical method or detection-limit field. The supplied response correctly refuses to infer a detection limit from the minimum positive assay value or the -9999 sentinel family.</t>
  </si>
  <si>
    <t>NS1-035</t>
  </si>
  <si>
    <t>Where are the rock chip samples? Give their count and geographic extent per map sheet, for the ten sheets with the most.</t>
  </si>
  <si>
    <t>NS1-035.csv</t>
  </si>
  <si>
    <t>What is the highest gold value in the surface data?</t>
  </si>
  <si>
    <t>NS1-038</t>
  </si>
  <si>
    <t>How many field observations are recorded, and what rock names appear most often?</t>
  </si>
  <si>
    <t>NS1-038.csv</t>
  </si>
  <si>
    <t>NS1-050</t>
  </si>
  <si>
    <t>Which sample types are recorded in the WA geochemistry table?</t>
  </si>
  <si>
    <t>NS1-050.csv</t>
  </si>
  <si>
    <t>Independent execution reproduced all 9 supplied rows, columns and values (comparison ignores row order and tolerates six-decimal floating-point representation differences). No returned sentinel values were found.</t>
  </si>
  <si>
    <t>NS2-019</t>
  </si>
  <si>
    <t>How many 1:250k map sheets were released in each decade?</t>
  </si>
  <si>
    <t>NS2-019.csv</t>
  </si>
  <si>
    <t>Independent execution reproduced all 6 supplied rows, columns and values (comparison ignores row order and tolerates six-decimal floating-point representation differences). No returned sentinel values were found.</t>
  </si>
  <si>
    <t>NS2-020</t>
  </si>
  <si>
    <t>Which 10 named basins cover the most mapped polygons, and how many distinct basin types does each span?</t>
  </si>
  <si>
    <t>NS2-020.csv</t>
  </si>
  <si>
    <t>NS2-026</t>
  </si>
  <si>
    <t>For groundwater sampling, report per year the number of analyses, the cumulative total, and each year's share of all dated analyses.</t>
  </si>
  <si>
    <t>NS2-026.csv</t>
  </si>
  <si>
    <t>{"yoy_change": 2}</t>
  </si>
  <si>
    <t>NS2-028</t>
  </si>
  <si>
    <t>Report sample counts by sampling medium using the human-readable medium names from the lookup table rather than the raw codes stored on the samples.</t>
  </si>
  <si>
    <t>NS2-028.csv</t>
  </si>
  <si>
    <t>NS2-031</t>
  </si>
  <si>
    <t>Which surface samples contain more than 50 percent manganese by weight? Report them by medium and say whether the values are credible.</t>
  </si>
  <si>
    <t>NS2-031.csv</t>
  </si>
  <si>
    <t>What is the average copper content of surface samples in the Kalgoorlie box?</t>
  </si>
  <si>
    <t>{"mean_cu_ppm": 1}</t>
  </si>
  <si>
    <t>NS2-056</t>
  </si>
  <si>
    <t>Compare median gold across map sheets with an honest indication of how uncertain each estimate is.</t>
  </si>
  <si>
    <t>NS2-056.png</t>
  </si>
  <si>
    <t>Independent execution reproduced the visual. Perceptual hash similarity is 97.3%; the different pixel dimensions are caused by the verification export DPI. No sentinel values are displayed in the plotted data.</t>
  </si>
  <si>
    <t>NS3-016</t>
  </si>
  <si>
    <t>Which 1:250k map sheet does surface sample 1847141 fall on? Report the sheet name and number.</t>
  </si>
  <si>
    <t>NS3-016.csv</t>
  </si>
  <si>
    <t>NS3-019</t>
  </si>
  <si>
    <t>Rank the townsites by how many surface samples lie within 25 km of each, and show the top 10 with their rank.</t>
  </si>
  <si>
    <t>NS3-019.csv</t>
  </si>
  <si>
    <t>NS3-025</t>
  </si>
  <si>
    <t>Are there any surface samples that fall outside every mapped 1:250k map sheet? Report how many, and the count that fall inside.</t>
  </si>
  <si>
    <t>NS3-025.csv</t>
  </si>
  <si>
    <t>NS3-031</t>
  </si>
  <si>
    <t>Are the silver anomalies close to any towns?</t>
  </si>
  <si>
    <t>NS3-031.csv</t>
  </si>
  <si>
    <t>NS3-036</t>
  </si>
  <si>
    <t>Draw a map of the Kalgoorlie box showing surface samples coloured by which sample medium they are.</t>
  </si>
  <si>
    <t>NS3-036.png</t>
  </si>
  <si>
    <t>Independent execution reproduced the visual. Perceptual hash similarity is 99.0%; the different pixel dimensions are caused by the verification export DPI. No sentinel values are displayed in the plotted data.</t>
  </si>
  <si>
    <t>NS3-037</t>
  </si>
  <si>
    <t>Draw a hexbin map of stream sediment sample density across the state.</t>
  </si>
  <si>
    <t>NS3-037.png</t>
  </si>
  <si>
    <t>Independent execution reproduced the visual. Perceptual hash similarity is 98.8%; the different pixel dimensions are caused by the verification export DPI. No sentinel values are displayed in the plotted data.</t>
  </si>
  <si>
    <t>NS3-040</t>
  </si>
  <si>
    <t>In the Kalgoorlie-to-Leonora window (longitude 120.5 to 122.5, latitude -32.0 to -28.5), how many surface samples fall inside mapped palaeovalleys?</t>
  </si>
  <si>
    <t>NS3-040.csv</t>
  </si>
  <si>
    <t>NS3-043</t>
  </si>
  <si>
    <t>How far apart are the surface samples typically? Estimate sampling density per map sheet as samples per square kilometre.</t>
  </si>
  <si>
    <t>NS3-043.csv</t>
  </si>
  <si>
    <t>NS4-016</t>
  </si>
  <si>
    <t>Build a pairwise correlation matrix for Au, As, Cu, Ni, Zn and Pb in soil samples, using only pairs where both elements are measured.</t>
  </si>
  <si>
    <t>NS4-016.csv</t>
  </si>
  <si>
    <t>NS4-024</t>
  </si>
  <si>
    <t>Compute the Cu/Au ratio for rock chips where both are measured and Au is above detection, and report the median ratio by ratio class (below 1000, 1000-10000, above 10000).</t>
  </si>
  <si>
    <t>NS4-024.csv</t>
  </si>
  <si>
    <t>NS4-031</t>
  </si>
  <si>
    <t>The Ravensthorpe region reports very high tantalum. What is the highest value, and is it credible?</t>
  </si>
  <si>
    <t>NS4-031.csv</t>
  </si>
  <si>
    <t>NS4-032</t>
  </si>
  <si>
    <t>Which elements can I look up for a surface sample but not for a drill hole interval?</t>
  </si>
  <si>
    <t>NS4-032.csv</t>
  </si>
  <si>
    <t>NS4-033</t>
  </si>
  <si>
    <t>Which elements travel together in soil? Give the correlation matrix for gold, arsenic, copper, nickel and cobalt on log-transformed values, and report how many samples carry all five.</t>
  </si>
  <si>
    <t>NS4-033.csv</t>
  </si>
  <si>
    <t>NS4-040</t>
  </si>
  <si>
    <t>Which pairs of elements are most often measured together in soil? Give the top ten pairs.</t>
  </si>
  <si>
    <t>NS4-040.csv</t>
  </si>
  <si>
    <t>NS4-045</t>
  </si>
  <si>
    <t>Which geological rock types have the highest median nickel in surface samples?</t>
  </si>
  <si>
    <t>NS4-045.csv</t>
  </si>
  <si>
    <t>Independent execution reproduced all 12 supplied rows, columns and values (comparison ignores row order and tolerates six-decimal floating-point representation differences). No returned sentinel values were found.</t>
  </si>
  <si>
    <t>NS4-048</t>
  </si>
  <si>
    <t>Where does the copper-lead-zinc association peak? Give the top 5 km cells by combined base-metal rank.</t>
  </si>
  <si>
    <t>NS4-048.csv</t>
  </si>
  <si>
    <t>NS5-018</t>
  </si>
  <si>
    <t>Draw a correlation heatmap for Au, As, Cu, Ni, Zn and Pb in soil samples, annotating each cell with its coefficient.</t>
  </si>
  <si>
    <t>NS5-018.png</t>
  </si>
  <si>
    <t>NS5-025</t>
  </si>
  <si>
    <t>Show me the gold data.</t>
  </si>
  <si>
    <t>NS5-025.png</t>
  </si>
  <si>
    <t>NS5-029</t>
  </si>
  <si>
    <t>I need to see where people have actually taken samples in this state — give me something that shows the coverage, not the individual points.</t>
  </si>
  <si>
    <t>NS5-029.png</t>
  </si>
  <si>
    <t>Independent execution reproduced the visual. Perceptual hash similarity is 99.7%; the different pixel dimensions are caused by the verification export DPI. No sentinel values are displayed in the plotted data.</t>
  </si>
  <si>
    <t>NS5-033</t>
  </si>
  <si>
    <t>Draw a box plot comparing nickel across the four sample media, on a log axis.</t>
  </si>
  <si>
    <t>NS5-033.png</t>
  </si>
  <si>
    <t>Independent execution reproduced the visual. Perceptual hash similarity is 99.2%; the different pixel dimensions are caused by the verification export DPI. No sentinel values are displayed in the plotted data.</t>
  </si>
  <si>
    <t>NS5-040</t>
  </si>
  <si>
    <t>Prepare box plot statistics for gold by sample medium: min, quartiles, max and outlier fence.</t>
  </si>
  <si>
    <t>NS5-040.csv</t>
  </si>
  <si>
    <t>NS5-048</t>
  </si>
  <si>
    <t>Prepare a table of sample counts per year-of-report for a timeline chart, using the report number as a proxy.</t>
  </si>
  <si>
    <t>NS5-048.csv</t>
  </si>
  <si>
    <t>Independent execution reproduced all 25 supplied rows, columns and values (comparison ignores row order and tolerates six-decimal floating-point representation differences). No returned sentinel values were found.</t>
  </si>
  <si>
    <t>NS5-050</t>
  </si>
  <si>
    <t>Prepare data comparing gold across the four sample media for a single chart.</t>
  </si>
  <si>
    <t>NS5-050.csv</t>
  </si>
  <si>
    <t>CD1-018</t>
  </si>
  <si>
    <t>How many WAROX field observations of rock type lie within 500 m of a drill hole?</t>
  </si>
  <si>
    <t>CD1-018.csv</t>
  </si>
  <si>
    <t>CD1-018_rerun.csv</t>
  </si>
  <si>
    <t>The supplied GeoPandas code executes successfully and exactly reproduces the supplied one-row result. It correctly restricts WAROX field observations to the rock_type category, projects both the observations and drill-hole geometries to EPSG:9473 before applying the 500 m distance criterion, and represents the criterion by testing drill-hole points against 500 m buffers around the observations. Counting unique observation identifiers after the spatial join prevents observations near multiple drill holes from being counted more than once. Of 149,930 rock-type observations, 20,125 are within 500 m of at least one drill hole, corresponding to 13.4%. No duplicate, missing, negative or sentinel-value issues were identified in the output.</t>
  </si>
  <si>
    <t>CD1-025</t>
  </si>
  <si>
    <t>Compare sampling and drilling footprints per region: for each of the four A-database region boxes, count the drill holes and the surface samples falling in the same box.</t>
  </si>
  <si>
    <t>CD1-025.csv</t>
  </si>
  <si>
    <t>CD1-025_rerun.csv</t>
  </si>
  <si>
    <t>The supplied Python code executes successfully and exactly reproduces the supplied four-row result with matching row order. It correctly compares the four predefined A-database regions by counting drill holes from the collar region classification and surface samples whose longitude and latitude fall within the corresponding region bounding boxes. The resulting counts are 373,776 holes and 534,994 surface samples for R1, 135,888 and 208,366 for R2, 57,432 and 1,302 for R3, and 37,198 and 64,514 for R4. The additional samples-per-hole ratio is a relevant comparison metric and does not alter the requested counts. No duplicate, missing, negative or sentinel-value issues were identified.</t>
  </si>
  <si>
    <t>For the ten strongest soil gold anomalies in the Kalgoorlie-Kambalda region, report the best significant intercept (4 m minimum, 0.5 g/t cutoff, 2 m dilution) of the nearest drill hole within 1 km, together with that intercept's length and the distance to the hole.</t>
  </si>
  <si>
    <t>CD1-027_rerun.csv</t>
  </si>
  <si>
    <t>The supplied GeoPandas code executes successfully and exactly reproduces the supplied ten-row result. It selects the ten highest non-negative soil Au values within the Kalgoorlie-Kambalda bounding box, projects both soil samples and regional drill-hole collars from EPSG:7844 to EPSG:7851, and finds the nearest drill hole within the specified 1 km maximum distance. Downhole assays are then evaluated using the stated 0.5 g/t cutoff, 4 m minimum length and up-to-2 m dilution rule, with interval-length-weighted Au grades used to select the best qualifying intercept. A qualification is that holes with no qualifying significant intercept are represented by 0.00 g/t and 0.00 m rather than an explicit missing/not-found value, which may be misinterpreted as an actual intercept.</t>
  </si>
  <si>
    <t>CD1-033</t>
  </si>
  <si>
    <t>How many surface samples lie within 1 km of a gold MINEDEX site?</t>
  </si>
  <si>
    <t>CD1-033.csv</t>
  </si>
  <si>
    <t>CD1-033_rerun.csv</t>
  </si>
  <si>
    <t>The supplied GeoPandas code executes successfully and exactly reproduces the supplied one-row result. It correctly restricts MINEDEX mineral sites to primary GOLD occurrences, projects both mineral sites and surface samples to EPSG:9473, constructs 1,000 m buffers around the gold sites, and identifies samples lying within those buffers. Crucially for this R-shortcut item, it counts unique sample uid values rather than spatial-join rows, preventing samples located within overlapping buffers of multiple gold sites from being counted more than once. The naive spatial-join count is 213,528 rows, whereas the correct distinct-sample count is 155,414, an inflation factor of 1.374.</t>
  </si>
  <si>
    <t>How many manganese occurrences are recorded in the mineral occurrence layer?</t>
  </si>
  <si>
    <t>CD1-034_rerun.csv</t>
  </si>
  <si>
    <t>The supplied SQL executes successfully and reproduces the provided three-row result exactly. It correctly distinguishes the Mn commodity code from the Mnz (monazite) code and identifies 589 exact-Mn records plus 93 records where Mn occurs among multiple primary commodities; therefore, 682 records contain Mn as a primary commodity. The %Mn% substring result (814) is correctly labelled as invalid because it also captures Mnz. The query appropriately addresses the R-schema robustness issue, although the output presents the component counts rather than a single combined total.</t>
  </si>
  <si>
    <t>Which map sheets contain drill holes but no surface samples at all?</t>
  </si>
  <si>
    <t>CD1-040_rerun.csv</t>
  </si>
  <si>
    <t>The supplied SQL executes successfully and independently reproduces the expected empty result. The anti-join logic correctly identifies map sheets containing drill holes for which no matching surface-sample count exists, supporting the R-premise case that no such sheets are returned in the benchmark data. The surface-sample CTE additionally restricts samples to longitude 118–123 and latitude -35–-22; this is consistent with the stated four-region coverage but is narrower than the literal phrase “no surface samples at all”, so the result is retained as a pass with this qualification.</t>
  </si>
  <si>
    <t>CD1-046</t>
  </si>
  <si>
    <t>Draw a map comparing where soil gold anomalies are against where the drilling is, in the Kalgoorlie box.</t>
  </si>
  <si>
    <t>CD1-046.png</t>
  </si>
  <si>
    <t>CD1-046_rerun.png</t>
  </si>
  <si>
    <t>The supplied visualisation code executes successfully and regenerates a semantically consistent map. Soil samples are restricted to the stated Kalgoorlie bounding box and valid positive Au values below 100 ppm; the anomaly layer is defined as the 99th percentile and above, giving a cutoff of 4.700 ppm and 2,582 anomalous soil samples. The drilling layer contains 373,776 R1 Kalgoorlie-Kambalda collars whose coordinate extent corresponds to the mapped box. Drilling is plotted as small semi-transparent light-grey background points and Au anomalies as larger crimson foreground points, allowing their spatial relationship to be compared directly. The title, longitude/latitude axis labels, equal aspect ratio, layer ordering and legend are appropriate and the legend explicitly reports both sample counts and the P99 Au threshold. The supplied and rerun figures show the same spatial distributions and visual interpretation. Their different pixel dimensions result from rendering/save resolution and do not constitute a semantic discrepancy.</t>
  </si>
  <si>
    <t>CD1-048</t>
  </si>
  <si>
    <t>How many field observations fall inside each region box?</t>
  </si>
  <si>
    <t>CD1-048.csv</t>
  </si>
  <si>
    <t>CD1-048_rerun.csv</t>
  </si>
  <si>
    <t>The supplied SQL executes successfully and reproduces the provided four-row result exactly. It correctly counts field observations within each of the four specified region bounding boxes using ST_Within and ST_MakeEnvelope. The rerun matches the supplied row counts, columns, values and ordering, with no duplicate, missing, negative or sentinel-value issues identified.</t>
  </si>
  <si>
    <t>CD1-052</t>
  </si>
  <si>
    <t>The Pilbara holds nearly all the downhole geophysics. How much surface sampling is there in that same area?</t>
  </si>
  <si>
    <t>CD1-052.csv</t>
  </si>
  <si>
    <t>CD1-052_rerun.csv</t>
  </si>
  <si>
    <t>The supplied SQL executes successfully and reproduces the provided three-row result exactly. It reports 1,302 surface samples within the R3 Pilbara/Newman bounding box, directly answering the surface-sampling part of the question, while the additional counts of 17,721 holes with downhole geophysics and 57,432 total R3 holes provide relevant context for the stated comparison. The A and B datasets are queried using the corresponding R3 area definitions, and no duplicate, missing, negative or sentinel-value issues were identified. Row ordering is not material because no ordering is requested and each result row is explicitly labelled.</t>
  </si>
  <si>
    <t>CD2-016.csv</t>
  </si>
  <si>
    <t>CD2-016_rerun.csv</t>
  </si>
  <si>
    <t>Check required</t>
  </si>
  <si>
    <t>The supplied code does not deterministically resolve tied nearest-neighbour matches. The nearest spatial join produces 7,190 rows for 4,917 distinct WACHEM samples, with 1,261 WACHEM samples having multiple equally-nearest routine matches and as many as 330 matches for one sample. Critically, 466 tied WACHEM samples have different routine Cu values among their nearest matches. The subsequent drop_duplicates('wid') therefore selects one tied routine sample according to join row order rather than a defined scientific or deterministic tie-breaking rule. This materially affects the requested correlation: rerunning the supplied code gives r = 0.1291 rather than the supplied r = 0.1602, although both runs retain 4,917 pairs and the median absolute difference remains 14.0 ppm. A deterministic tie-handling policy is required before the correlation can be treated as a reproducible gold answer.</t>
  </si>
  <si>
    <t>Do field geologists and drillers describe the same rocks? For WAROX rock observations within 200 m of a drill hole, compare the observed rock name against the lithology logged in that hole, and list the ten most common pairings.</t>
  </si>
  <si>
    <t>CD2-019_rerun.csv</t>
  </si>
  <si>
    <t>The supplied GeoPandas code executes successfully and exactly reproduces the supplied ten-row result. It correctly selects non-null WAROX rock-type observations, projects both observations and drill-hole collars to EPSG:9473, and identifies the nearest drill hole within 200 m. The resulting observations are paired with drill-hole geology and grouped by WAROX rock name and drill-hole lithology to obtain the ten most frequent combinations. A methodological qualification is that each drill hole is represented by the lithology code of its single longest logged interval, rather than all logged intervals or lithology aggregated by total logged thickness; this operational definition is not specified by the question. The nearest-hole deduplication also has no explicit policy for equally-nearest holes, although no result instability is demonstrated here.</t>
  </si>
  <si>
    <t>CD2-025.csv</t>
  </si>
  <si>
    <t>CD2-025_rerun.csv</t>
  </si>
  <si>
    <t>The supplied code does not deterministically resolve equally-nearest drill holes. The nearest spatial join identifies 95,883 soil Au anomalies with a drill hole within 1 km, but 19,503 anomalies have multiple equally-nearest matches. Among these, 3,879 have different hole maximum Au values and 229 have tied nearest holes on opposite sides of the 1 g/t classification threshold. The subsequent drop_duplicates('uid') therefore allows join row order to determine whether some anomalies are classified as both_anomalous or surface_only. The supplied result reports 14,594 both_anomalous and 81,289 surface_only, whereas the rerun gives 14,506 and 81,377 respectively; the no_hole_within_1km count remains identical at 66,598. Deterministic alternative tie policies also produce different counts, confirming that the gold answer depends on an undefined tie-handling rule. The diagnostic additionally identified a hole_max_au value of -9999 among tied matches, indicating that invalid/sentinel maximum-grade values should also be reviewed before classification.</t>
  </si>
  <si>
    <t>CD2-030</t>
  </si>
  <si>
    <t>In SQL, compare surface and subsurface nickel inside mapped ultramafic polygons: report the median soil Ni of samples inside them and the median maximum downhole Ni of holes inside them.</t>
  </si>
  <si>
    <t>CD2-030.csv</t>
  </si>
  <si>
    <t>CD2-030_rerun.csv</t>
  </si>
  <si>
    <t>The supplied SQL executes successfully and exactly reproduces the supplied one-row result. It correctly identifies mapped ultramafic polygons, spatially selects soil samples and drill holes within those polygons, and excludes negative Ni values. The surface calculation reports a median soil Ni of 106.0 ppm from 183,900 soil records. For the subsurface calculation, the query correctly calculates the maximum Ni for each hole before taking the median across 70,431 holes, producing a median hole-maximum Ni of 9,970.0 ppm. This matches the aggregation level requested by the question. No duplicate, missing, negative or sentinel-value issues were identified in the output.</t>
  </si>
  <si>
    <t>CD2-041</t>
  </si>
  <si>
    <t>In the Kambalda box, do soil gold anomalies sit above holes that actually hit gold? Compare hole peak grade for holes near an anomaly versus holes not near one.</t>
  </si>
  <si>
    <t>CD2-041.csv</t>
  </si>
  <si>
    <t>CD2-041_rerun.csv</t>
  </si>
  <si>
    <t>The supplied SQL executes successfully and exactly reproduces the supplied two-row result. It correctly restricts soil samples and drill holes to the Kambalda box, defines soil Au anomalies at ≥0.1 ppm, transforms both datasets from EPSG:7844 to projected EPSG:7851 before applying the 500 m proximity test, and uses drillhole_maxgrade Au as the hole peak grade. The resulting near-anomaly and no-nearby-anomaly groups contain 69 and 13,318 holes respectively, with median peak Au values of 0.27 and 0.96 ppm and P90 values of 2.27 and 22.14 ppm. The two groups therefore provide the comparison requested by the question, and the supplied and verification outputs match exactly.</t>
  </si>
  <si>
    <t>CD2-042</t>
  </si>
  <si>
    <t>Nickel: is the surface or the drill-hole side richer? Give median and 99th percentile on each side.</t>
  </si>
  <si>
    <t>CD2-042.csv</t>
  </si>
  <si>
    <t>CD2-042_rerun.csv</t>
  </si>
  <si>
    <t>The supplied SQL executes successfully and exactly reproduces the supplied two-row result. It applies the same positive-Ni filter and summary statistics to surface_assay and dh_assay, enabling a consistent comparison between the surface and drill-hole assay distributions. Surface Ni has a median of 31 ppm and a 99th percentile of 994 ppm, compared with 1,300 ppm and 19,400 ppm respectively for drill-hole assays. The drill-hole side is therefore richer by both requested statistics. No duplicate, missing, negative or sentinel-value issues were identified in the output.</t>
  </si>
  <si>
    <t>CD2-046</t>
  </si>
  <si>
    <t>Draw a grouped bar chart comparing how many usable measurements each of six elements has on the surface side versus the drill hole side.</t>
  </si>
  <si>
    <t>CD2-046.png</t>
  </si>
  <si>
    <t>CD2-046_rerun.png</t>
  </si>
  <si>
    <t>The supplied visualization code executes successfully and regenerates a semantically consistent grouped bar chart. It compares the requested six elements (Au, Cu, Ni, Zn, Mn and Mo) using surface_assay for the surface side and dh_assay for the drill-hole side. Usable measurements are consistently operationalised as positive (&gt;0) values, excluding NaN and non-positive assay values. The chart contains the expected 12 bars, with one surface and one drill-hole bar for each element, and the category ordering, bar heights and relative patterns are consistent between the supplied and rerun figures. A logarithmic y-axis is appropriate for the large measurement counts and differences in magnitude and is explicitly identified by the axis label. The title, element labels and legend clearly communicate the comparison. The different PNG pixel dimensions are attributable to rendering/save resolution and do not represent a semantic visualisation discrepancy.</t>
  </si>
  <si>
    <t>CD2-051</t>
  </si>
  <si>
    <t>Compare thorium and uranium levels between the WA geochemistry surface samples and anything comparable in the drill hole data.</t>
  </si>
  <si>
    <t>CD2-051.csv</t>
  </si>
  <si>
    <t>CD2-051_rerun.csv</t>
  </si>
  <si>
    <t>The supplied SQL executes successfully and exactly reproduces the supplied three-row result. Positive WACHEM surface measurements give 42,491 Th observations with a median of 7.4 ppm and 41,630 U observations with a median of 1.3 ppm. The drill-hole result explicitly reports that no comparable Th or U column exists in dh_assay, so its count is 0 and the median is intentionally NULL. The single missing median value is therefore semantically expected rather than a data-quality failure.</t>
  </si>
  <si>
    <t>Draw small multiples comparing the surface and drill hole gold distributions in each of the four regions.</t>
  </si>
  <si>
    <t>CD2-053_rerun.png</t>
  </si>
  <si>
    <t>The supplied visualization code executes successfully and regenerates a semantically consistent 2×2 small-multiple comparison for the four requested regions. Surface and drill-hole Au distributions use the same logarithmic bins, the same 0 &lt; Au &lt; 100 ppm filter, density normalization and shared x/y axes, making distribution shapes directly comparable despite very different sample sizes. The supplied and rerun figures show the same distributions, labels, legends and visual interpretation. However, surface observations are assigned to regions using predefined longitude/latitude boxes whereas drill-hole assays are assigned using the collar region field; the code does not demonstrate that these two region definitions are exactly equivalent. In addition, the 0 &lt; Au &lt; 100 ppm validity range and the rule that a distribution is plotted only when more than 50 observations are available are not stated in the question. In particular, suppressing a drill-hole series with 50 or fewer observations could visually resemble complete absence of drill-hole data unless explicitly labelled. These are methodological qualifications rather than evidence that the displayed distributions are incorrect.</t>
  </si>
  <si>
    <t>CD3-024</t>
  </si>
  <si>
    <t>Copper targets on structure: soil samples above the 99th percentile of measured soil Cu, within 1 km of a mapped fault, and more than 2 km from any drill hole. Report the count and top ten.</t>
  </si>
  <si>
    <t>CD3-024.csv</t>
  </si>
  <si>
    <t>CD3-024_rerun.csv</t>
  </si>
  <si>
    <t>The supplied GeoPandas code executes successfully and exactly reproduces the supplied ten-row result. It correctly restricts the analysis to measured soil Cu values, calculates the 99th-percentile threshold as 301.0 ppm, and retains samples strictly above that threshold. Sample, fault and drill-hole geometries are handled in projected CRS EPSG:9473, so the 1,000 m fault-distance and 2,000 m drill-hole-distance thresholds are applied in metres. The fault test correctly identifies samples having at least one mapped fault within 1 km, while the drill-hole exclusion removes samples having any drill hole within 2 km. Nearest-neighbour ties do not affect either spatial criterion because the joins are used only to construct sets of qualifying sample identifiers rather than to select attributes from a particular nearest feature. The resulting target population contains 3,350 samples, and the output correctly reports the ten targets with the highest Cu values together with the total count and threshold.</t>
  </si>
  <si>
    <t>CD3-030</t>
  </si>
  <si>
    <t>In SQL, list the 1:250k map sheets that contain soil gold anomalies above 100 ppb but contain no drill holes at all, with their anomaly counts.</t>
  </si>
  <si>
    <t>CD3-030.csv</t>
  </si>
  <si>
    <t>CD3-030_rerun.csv</t>
  </si>
  <si>
    <t>The supplied SQL executes successfully and reproduces the same 86 map sheets and anomaly counts as the supplied result. It correctly restricts anomalies to soil samples with Au &gt;0.1 ppm (&gt;100 ppb), counts distinct anomalous samples per map sheet, spatially identifies map sheets containing drill-hole collars, and excludes all drilled sheets. The verification and supplied results contain identical rows and values with no duplicate, missing, negative or sentinel-value issues. The observed ordering difference is limited to tied anomaly counts because the SQL orders only by n_anomalies DESC and does not specify a secondary tie-breaker.</t>
  </si>
  <si>
    <t>CD3-032</t>
  </si>
  <si>
    <t>In the Leonora-Murrin box (longitude 121.25 to 122.25, latitude -29.5 to -28.75), how many surface samples and how many drill holes are there? Which is the sparser dataset there?</t>
  </si>
  <si>
    <t>CD3-032.csv</t>
  </si>
  <si>
    <t>CD3-032_rerun.csv</t>
  </si>
  <si>
    <t>The supplied Python code executes successfully and exactly reproduces the supplied one-row result. It counts 208,366 surface samples within the explicitly specified Leonora-Murrin bounding box and 135,888 drill holes classified in the corresponding A-database R2_leonora_murrin region. Since 135,888 is less than 208,366, the result correctly identifies drilling as the sparser dataset in this region. The bounding-box definition and R2 region classification are consistent with the corresponding regional definition used elsewhere in the benchmark. No duplicate, missing, negative or sentinel-value issues were identified.</t>
  </si>
  <si>
    <t>CD3-044</t>
  </si>
  <si>
    <t>How many of the 163 map sheets contain no drilling at all, and which are the ones that do?</t>
  </si>
  <si>
    <t>CD3-044.csv</t>
  </si>
  <si>
    <t>CD3-044_rerun.csv</t>
  </si>
  <si>
    <t>The supplied SQL executes successfully and exactly reproduces the supplied 11-row result. It spatially identifies map sheets containing drill-hole collars and shows that 11 of the 163 map sheets contain drilling, leaving 152 with no drilling at all. The output also lists the 11 sheets that do contain drilling, together with their sheet numbers and hole counts, correctly addressing the second part of the question. The supplied and verification results match in row count, columns, values and required ordering, with no duplicate, missing, negative or sentinel-value issues identified.</t>
  </si>
  <si>
    <t>CD3-045</t>
  </si>
  <si>
    <t>Are there gold occurrences far from any town? Give the ten gold sites with the greatest distance to the nearest townsite.</t>
  </si>
  <si>
    <t>CD3-045.csv</t>
  </si>
  <si>
    <t>CD3-045_rerun.csv</t>
  </si>
  <si>
    <t>The supplied SQL executes successfully and reproduces the same ten gold sites and nearest-town distances as the supplied result. It selects gold mineral sites, projects both mineral-site and townsite geometries to EPSG:9473, calculates the minimum distance from each site to a townsite, converts the distance to kilometres, and returns the ten sites with the greatest nearest-town distance. No duplicate, missing, negative or sentinel-value issues were identified. The observed ordering difference is limited to tied rounded distance values because no secondary tie-breaker is specified.</t>
  </si>
  <si>
    <t>CD4-023</t>
  </si>
  <si>
    <t>Map undrilled gold targets in the Kalgoorlie-Kambalda box (lon 121.0-122.0, lat -32.0 to -30.5): soil anomalies above 100 ppb with no hole within 2 km, over a grey drilling backdrop, sized by gold value.</t>
  </si>
  <si>
    <t>CD4-023.png</t>
  </si>
  <si>
    <t>CD4-023_rerun.png</t>
  </si>
  <si>
    <t>The supplied visualization code executes successfully and regenerates a semantically consistent map. Soil samples are restricted to the specified Kalgoorlie-Kambalda bounding box and anomalies are selected using Au &gt; 0.1 ppm, correctly corresponding to above 100 ppb. Distance-to-drilling is evaluated after projection to EPSG:7851, with a 2,000 m nearest-neighbour threshold, and targets are correctly defined as anomaly UIDs for which no drill-hole point is found within that distance. The drilling search extent is expanded beyond the target box, appropriately allowing nearby holes outside the box to exclude edge anomalies. The resulting 449 undrilled targets are plotted over a grey drilling backdrop and marker size increases with log-transformed Au concentration, satisfying the requested gold-value size encoding. Nearest-neighbour ties do not affect the binary within-2-km existence test because only target UID membership is used. The supplied and rerun figures show the same target count, spatial pattern, layers, labels and visual interpretation; their different PNG dimensions are attributable to rendering resolution rather than semantic differences.</t>
  </si>
  <si>
    <t>CD4-025</t>
  </si>
  <si>
    <t>Make me a map showing where the good targets are.</t>
  </si>
  <si>
    <t>CD4-025.png</t>
  </si>
  <si>
    <t>CD4-025_rerun.png</t>
  </si>
  <si>
    <t>The question is intentionally underspecified (R-ambig): it does not define the commodity, what constitutes a “good” target, whether a target must be undrilled, or the spatial extent. The supplied solution handles this ambiguity appropriately by explicitly declaring all four operational assumptions in the figure title rather than presenting them as facts: GOLD, soil Au &gt;100 ppb, no hole within 2 km, and the R1 box. Under those stated assumptions, the implementation is internally consistent. The &gt;100 ppb threshold is correctly implemented as Au &gt;0.1 ppm, target samples are restricted to the assumed box, and the 2 km drilling-distance test is performed in projected EPSG:7851 coordinates. Targets are defined by absence of a drilling point within 2,000 m, yielding 449 targets. The map clearly distinguishes existing drilling from targets, and the supplied and rerun figures reproduce the same target count, spatial distribution, labels and interpretation. The assumptions themselves do not constitute an error because they are explicitly disclosed and are the intended response to the question’s ambiguity.</t>
  </si>
  <si>
    <t>CD4-028</t>
  </si>
  <si>
    <t>Draw a grouped bar chart comparing, for each of the four regions, the number of drill holes against the number of surface samples in the same bounding box, on a logarithmic y-axis.</t>
  </si>
  <si>
    <t>CD4-028.png</t>
  </si>
  <si>
    <t>CD4-028_rerun.png</t>
  </si>
  <si>
    <t>The supplied visualization code executes successfully and reproduces the supplied chart semantically. It compares all four requested regions using paired bars for drill-hole and surface-sample counts. Surface samples are counted within each region’s specified longitude/latitude bounding box, while drill holes are counted using the corresponding collar region labels. The resulting counts are 373,776 vs 534,994 for Kalgoorlie-Kambalda, 135,888 vs 208,366 for Leonora-Murrin, 57,432 vs 1,302 for Pilbara-Newman, and 37,198 vs 64,514 for Ravensthorpe. The grouped-bar encoding, region ordering, legend labels, logarithmic y-axis and chart title all match the question. The supplied and rerun figures show the same underlying values and interpretation; their different PNG dimensions are rendering differences only and do not indicate a semantic mismatch.</t>
  </si>
  <si>
    <t>CD4-035</t>
  </si>
  <si>
    <t>Prepare a plot-ready table: every mineral occurrence in the Kalgoorlie box with its commodity and coordinates.</t>
  </si>
  <si>
    <t>CD4-035.csv</t>
  </si>
  <si>
    <t>CD4-035_rerun.csv</t>
  </si>
  <si>
    <t>{'latitude': 265}</t>
  </si>
  <si>
    <t>The supplied SQL executes successfully and exactly reproduces the supplied 265-row result, including the required ordering. It correctly selects mineral occurrences within the specified Kalgoorlie bounding box and returns the site title, primary commodity, longitude and latitude required for a plot-ready table. No duplicate, missing or sentinel-value issues were identified. All 265 negative numeric values occur in the latitude column and are valid southern-hemisphere coordinates rather than invalid or sentinel values.</t>
  </si>
  <si>
    <t>For a bubble map: give each 0.1-degree cell in the Kalgoorlie box with its surface sample count and its maximum soil gold.</t>
  </si>
  <si>
    <t>CD4-038_rerun.csv</t>
  </si>
  <si>
    <t>{'cell_lat': 20}</t>
  </si>
  <si>
    <t>The supplied SQL executes successfully and reproduces the same 20 cells and values as the supplied result. It correctly bins soil samples within the Kalgoorlie bounding box into 0.1-degree cells and reports a sample count and maximum valid soil Au value for each returned cell. The 20 negative numeric values are valid southern-hemisphere cell latitudes. The query additionally restricts the output to cells with at least 50 joined sample records and then returns only the top 20 cells by maximum Au, although these restrictions are not stated explicitly in the question. The observed ordering difference is attributable to tied max_au_ppm values without a secondary tie-breaker.</t>
  </si>
  <si>
    <t>CD4-040</t>
  </si>
  <si>
    <t>Build a table combining, for each region, the drilling count, the surface sample count, and the number of mineral occurrences — the three layers a regional overview map would show.</t>
  </si>
  <si>
    <t>CD4-040.csv</t>
  </si>
  <si>
    <t>CD4-040_rerun.csv</t>
  </si>
  <si>
    <t>The supplied Python code executes successfully and exactly reproduces the supplied four-row result with matching row order. For each of the four predefined regions, it reports the requested drilling count, surface-sample count and mineral-occurrence count. Drill holes are counted using the corresponding A-database region classification, surface samples are selected using the matching longitude/latitude bounding box, and mineral-site point geometries are selected using the same box through the GeoDataFrame coordinate indexer. The resulting regional counts are internally consistent with the previously validated regional sampling and drilling counts. The additional samples-per-hole field is relevant supplementary context and does not alter the requested three-layer counts. No duplicate, missing, negative or sentinel-value issues were identified.</t>
  </si>
  <si>
    <t>CD4-047.csv</t>
  </si>
  <si>
    <t>CD4-047_rerun.csv</t>
  </si>
  <si>
    <t>The supplied result is reproducible, but the spatial aggregation does not correctly calculate total fault length within each 10 km cell. The gold code assigns each complete fault geometry to the cell containing its centroid and attributes the geometry’s full length to that single cell, rather than intersecting faults with the 10 km grid and summing the line length actually contained in each cell. Independent grid-intersection validation shows that 149 cells differ by more than 0.01 km, with a maximum absolute cell-level difference of 74.95 km and a mean absolute difference of 10.17 km. The error materially changes the reported ranking: only 17 of the gold top-20 cells remain in the intersection-based top 20, with three cells replaced. In addition, the initial bounding-box selection does not clip intersecting fault geometries to the Kalgoorlie box, causing 513.33 km (4.34%) of fault length outside the box to be included. Therefore, exact reproduction of the supplied result does not establish semantic correctness.</t>
  </si>
  <si>
    <t>Prepare a plot-ready table of palaeovalley outlines with name and area for map display.</t>
  </si>
  <si>
    <t>CD4-053_rerun.csv</t>
  </si>
  <si>
    <t>The supplied SQL executes successfully and exactly reproduces the supplied 20-row result with the required ordering. It correctly retrieves palaeovalley identifiers and names and reports both the recorded area and an independently computed area in km² after transforming the geometry to EPSG:9473. The recorded and computed areas are closely consistent, and no duplicate, missing, negative or sentinel-value issues were identified. However, the query returns only the 20 largest palaeovalleys by computed area, although this top-20 restriction is not stated in the question, and the output does not include the polygon geometry itself despite being described as a plot-ready table of outlines.</t>
  </si>
  <si>
    <t>How much of each greenstone belt is covered by mapped palaeovalleys? Compute the overlap area and percentage.</t>
  </si>
  <si>
    <t>CD4-054_rerun.csv</t>
  </si>
  <si>
    <t>The supplied GeoPandas code executes successfully and exactly reproduces the supplied 15-row result. The spatial calculation is methodologically appropriate: greenstone polygons are dissolved by tect_name, both datasets are projected to EPSG:9473 for area calculation, palaeovalley polygons are unioned before intersection to avoid double-counting overlapping palaeovalley coverage, and actual polygon intersections are used to calculate overlap area in km² and percentage of each belt covered. However, the source greenstone dataset contains 1,030 polygons representing 24 distinct non-null tect_name values, while the gold code sorts by pct_covered and applies head(15). Consequently, only the 15 highest-coverage belts are reported even though the question asks for coverage of “each greenstone belt.” The spatial values returned are valid, but the Top-15 output restriction is not stated in the question.</t>
  </si>
  <si>
    <t>NS1-022</t>
  </si>
  <si>
    <t>How many mapped bedrock polygons exist at each stratigraphic rank (Formation, Member, Group and so on)?</t>
  </si>
  <si>
    <t>NS1-022.csv</t>
  </si>
  <si>
    <t>NS1-022_rerun.csv</t>
  </si>
  <si>
    <t>The supplied SQL executes successfully and exactly reproduces the supplied nine-row result with the required ordering. It correctly groups mapped geology_unit polygons by non-null stratigraphic rank and counts the polygons in each rank, directly answering the question. All nine represented ranks are returned, including Formation, Member, Group and the other rank categories present in the data. No duplicate, missing, negative or sentinel-value issues were identified in the output.</t>
  </si>
  <si>
    <t>NS1-024</t>
  </si>
  <si>
    <t>Which standard sample-type codes in the lookup table are never actually used as a sampling medium in the surface sample table?</t>
  </si>
  <si>
    <t>NS1-024.csv</t>
  </si>
  <si>
    <t>NS1-024_rerun.csv</t>
  </si>
  <si>
    <t>The supplied SQL executes successfully and exactly reproduces the supplied five-row result. It correctly identifies lookup_sample_type entries that are not represented by any sampling medium in surface_sample using an EXCEPT operation. The matching logic handles case-insensitive code/display-name matches and explicitly maps the differing medium representations for SHALLOWSURFDRILL, STREAMSED and ROCKCHIP, avoiding false unused classifications caused by naming differences. The resulting five unused standard sample types contain no duplicate, missing, negative or sentinel-value issues.</t>
  </si>
  <si>
    <t>Pull out every soil sample where the gold assay came back over a tenth of a gram per tonne, together with its arsenic figure.</t>
  </si>
  <si>
    <t>NS1-025_rerun.csv</t>
  </si>
  <si>
    <t>{'as_ppm': 49047}</t>
  </si>
  <si>
    <t>The supplied SQL executes successfully and exactly reproduces the supplied 162,481-row result. It correctly handles the R-para wording by interpreting one tenth of a gram per tonne Au as 0.1 ppm and applying the strict &gt;0.1 ppm threshold to soil samples. The requested sample identifier, Au assay and As figure are returned with no duplicate or missing rows. The output contains 49,047 negative As values, including 43,778 clear sentinel candidates (-9999, -999 and -99); these are retained because the question asks for every qualifying Au soil sample together with its arsenic figure rather than restricting the result to valid As measurements. One Au value of 999 ppm is also flagged by the generic sentinel detector, but its status cannot be determined from the numeric value alone.</t>
  </si>
  <si>
    <t>NS1-039</t>
  </si>
  <si>
    <t>Draw a bar chart of how many surface samples there are of each medium.</t>
  </si>
  <si>
    <t>NS1-039.png</t>
  </si>
  <si>
    <t>NS1-039_rerun.png</t>
  </si>
  <si>
    <t>The supplied visualization code executes successfully and correctly counts surface samples by the medium field in B_surface/surface_sample.parquet using value_counts(), with no unstated filtering or category restriction. The four displayed categories contain 5,407,653 soil, 1,549,340 shallow_drill, 402,283 rock_chip and 157,267 stream_sed samples, which sum exactly to the full 7,516,543 surface-sample records shown in the title. The bar heights and numeric annotations represent these counts correctly, and the title, category labels and y-axis label appropriately describe the visualization. The supplied and rerun figures are semantically consistent; their different PNG dimensions are rendering differences only.</t>
  </si>
  <si>
    <t>NS1-040</t>
  </si>
  <si>
    <t>Draw a horizontal bar chart of how many usable measurements each element has in the surface assay table, sorted.</t>
  </si>
  <si>
    <t>NS1-040.png</t>
  </si>
  <si>
    <t>NS1-040_rerun.png</t>
  </si>
  <si>
    <t>The supplied visualization code executes successfully and correctly identifies all 26 assay measurement fields ending in _ppm or _pct in B_surface/surface_assay.parquet. It defines a usable measurement as a positive value (&gt; 0), which excludes negative sentinel and non-positive encoded values, and this operational definition is explicitly communicated by the x-axis label “Samples with a usable (positive) value”. The counts are sorted in ascending order before being displayed as a horizontal bar chart, ranging from 274,001 positive measurements for ta_ppm to 5,083,154 for au_ppm. The chart type, ordering, title, axis labelling and displayed coverage values therefore answer the question correctly. The supplied and rerun figures are semantically consistent; their different PNG dimensions are rendering differences only.</t>
  </si>
  <si>
    <t>NS1-044</t>
  </si>
  <si>
    <t>What stratigraphic ranks are used in the geology layer, and how many mapped units does each have?</t>
  </si>
  <si>
    <t>NS1-044.csv</t>
  </si>
  <si>
    <t>NS1-044_rerun.csv</t>
  </si>
  <si>
    <t>The supplied SQL executes successfully and exactly reproduces the supplied nine-row result with the required ordering. It correctly identifies all non-null stratigraphic ranks used in the geology_unit layer and reports both the number of mapped polygons and the number of distinct named units for each rank. This directly addresses the requested rank and mapped-unit counts, while the additional distinct-parent count provides relevant supplementary context. No duplicate, missing, negative or sentinel-value issues were identified in the output.</t>
  </si>
  <si>
    <t>Search the field notes for mentions of quartz veining, and report how many observations mention it and which rock names they carry.</t>
  </si>
  <si>
    <t>NS1-046_rerun.csv</t>
  </si>
  <si>
    <t>The supplied SQL executes successfully and reproduces the same 15 rock-name categories and mention counts as the supplied result. It searches non-null field notes case-insensitively for quartz and vein occurring within 20 characters in either order, groups matching observations by rock name, and explicitly retains observations with missing rock names as “(null)”. However, the query returns only the 15 most frequent rock-name categories even though the question does not explicitly specify a top-15 restriction. The relative ordering of categories with tied mention counts is also non-deterministic because ORDER BY uses only n_mentions DESC.</t>
  </si>
  <si>
    <t>NS1-047</t>
  </si>
  <si>
    <t>How many of the surface samples were collected by each company? Break it down by company name.</t>
  </si>
  <si>
    <t>The refusal is justified by the frozen database schema. surface_sample contains wamex_anumber, which identifies the source report, but contains no company identifier or company name. Across the 35 scanned parquet tables, no mapping from wamex_anumber to company name was found. Although collar contains an integer company_id, it belongs to the subsurface drill-hole dataset and no lookup table is available to decode that identifier to company names. Therefore, surface samples cannot be reliably grouped by company name from the available frozen data, and treating report numbers as companies would be incorrect.</t>
  </si>
  <si>
    <t>NS2-016</t>
  </si>
  <si>
    <t>Rank the sampling media by median measured gold, and show each medium's rank alongside the median.</t>
  </si>
  <si>
    <t>NS2-016.csv</t>
  </si>
  <si>
    <t>NS2-016_rerun.csv</t>
  </si>
  <si>
    <t>The supplied SQL executes successfully and exactly reproduces the supplied four-row result with the required ranking. It correctly groups valid non-negative Au measurements by sampling medium, calculates the median Au concentration for each medium, and ranks the media in descending order of their unrounded median values using DENSE_RANK. The resulting order is rock_chip, shallow_drill, soil and stream_sed, with median Au values of 0.0050, 0.0044, 0.0020 and 0.0010 ppm respectively. No duplicate, missing, negative or sentinel-value issues were identified in the output.</t>
  </si>
  <si>
    <t>NS2-025</t>
  </si>
  <si>
    <t>For each sampling medium, what is the interquartile range of measured copper, and which medium has the widest spread?</t>
  </si>
  <si>
    <t>NS2-025.csv</t>
  </si>
  <si>
    <t>NS2-025_rerun.csv</t>
  </si>
  <si>
    <t>The supplied SQL executes successfully and exactly reproduces the supplied four-row result with the required ordering. It correctly groups valid non-negative Cu measurements by sampling medium, calculates the first and third quartiles using continuous quantiles, and computes the interquartile range as Q3 minus Q1. The media are ranked by their unrounded IQR values, correctly identifying rock_chip as having the widest spread with an IQR of 92.0 ppm, followed by stream_sed (48.2 ppm), soil (35.0 ppm), and shallow_drill (31.0 ppm). No duplicate, missing, negative or sentinel-value issues were identified in the output.</t>
  </si>
  <si>
    <t>NS2-030</t>
  </si>
  <si>
    <t>List the groundwater analyses with a pH above 14.</t>
  </si>
  <si>
    <t>NS2-030.csv</t>
  </si>
  <si>
    <t>NS2-030_rerun.csv</t>
  </si>
  <si>
    <t>The supplied SQL executes successfully and independently reproduces the expected empty result. It queries the groundwater hydrogeochemistry table using the correct pH field and applies the strict ph &gt; 14 condition specified by the question, without introducing additional filters or joins that could accidentally eliminate records. No groundwater analyses in the frozen dataset satisfy this condition, so the zero-row result correctly handles the R-premise case rather than indicating a query failure.</t>
  </si>
  <si>
    <t>NS2-033</t>
  </si>
  <si>
    <t>How many surface samples were analysed for molybdenum?</t>
  </si>
  <si>
    <t>NS2-033.csv</t>
  </si>
  <si>
    <t>NS2-033_rerun.csv</t>
  </si>
  <si>
    <t>The supplied SQL executes successfully and exactly reproduces the supplied one-row result. It correctly handles the R-shortcut case by distinguishing non-null Mo values from values treated as actually measured: COUNT(mo_ppm) returns all 7,516,543 assay rows because the field is non-null throughout, whereas 2,410,326 rows have mo_ppm &gt; 0 and are counted as actually measured. The remaining 5,106,217 rows are non-positive and are separately reported rather than incorrectly counted as measured Mo results. The diagnostic columns therefore demonstrate why a simple COUNT(mo_ppm) would not answer the question correctly.</t>
  </si>
  <si>
    <t>Which rock types do field geologists record most often?</t>
  </si>
  <si>
    <t>NS2-043_rerun.csv</t>
  </si>
  <si>
    <t>The supplied SQL executes successfully and exactly reproduces the supplied 15-row result with the required ordering. It correctly ranks rock names by total field-observation count and additionally addresses the R-shortcut risk by reporting how many distinct geologists recorded each rock type and the percentage contributed by the single busiest geologist for that rock type. These diagnostics help distinguish recording frequency from concentration in an individual geologist’s observations. However, the query returns only the 15 most frequently recorded rock types even though a top-15 restriction is not explicitly stated in the question. No duplicate, missing, negative or sentinel-value issues were identified in the output.</t>
  </si>
  <si>
    <t>What is the average gold content of soil in the Kalgoorlie region?</t>
  </si>
  <si>
    <t>NS2-047_rerun.csv</t>
  </si>
  <si>
    <t>The supplied code executes successfully and exactly reproduces the supplied one-row result. It correctly restricts surface samples to soil within the stated Kalgoorlie bounding box and reports the conventional sample-weighted mean together with the sample median and a 5 km cell-based summary, which is useful for this R-shortcut item because dense spatial sampling can influence a simple sample-weighted average. The projected EPSG:7851 coordinates are appropriate for constructing 5 km cells. However, the analysis excludes Au values at or above 100 ppm even though the question does not specify this upper cutoff, so the reported averages apply to the filtered range 0 &lt; Au &lt; 100 ppm rather than all measured soil Au. In addition, area_weighted_mean_of_cell_medians is calculated as the unweighted mean of medians for sampled 5 km cells; equal-sized cells provide a spatially balanced summary, but unsampled cells are not represented, so the field should not be interpreted as a strict area-weighted mean over the entire Kalgoorlie region.</t>
  </si>
  <si>
    <t>NS2-049</t>
  </si>
  <si>
    <t>How many distinct exploration reports contributed to each sample medium?</t>
  </si>
  <si>
    <t>NS2-049.csv</t>
  </si>
  <si>
    <t>NS2-049_rerun.csv</t>
  </si>
  <si>
    <t>The supplied Python code executes successfully and exactly reproduces the supplied four-row result. It groups surface samples by sampling medium and uses the WAMEX report identifier (wamex_anumber) with nunique() to count distinct contributing exploration reports, directly answering the question. The resulting report counts are 7,171 for rock_chip, 1,925 for shallow_drill, 8,745 for soil, and 1,384 for stream_sed. The additional sample counts and samples-per-report values provide relevant supplementary context without changing the requested distinct-report counts. No duplicate, missing, negative or sentinel-value issues were identified in the output.</t>
  </si>
  <si>
    <t>NS2-054.png</t>
  </si>
  <si>
    <t>NS2-054_rerun.png</t>
  </si>
  <si>
    <t>The figure correctly constructs a soil-Au log-probability plot, but the three annotated lines are fixed percentiles rather than inferred population boundaries. Neither the code nor the figure states how many populations are present or identifies a threshold separating them, which is explicitly required by the question. The unstated &lt;100 ppm filter additionally truncates the high-Au tail.</t>
  </si>
  <si>
    <t>NS3-020.csv</t>
  </si>
  <si>
    <t>NS3-020_rerun.csv</t>
  </si>
  <si>
    <t>The supplied GeoPandas methodology correctly calculates map-sheet area in projected CRS EPSG:9473, assigns surface samples to map sheets using a within spatial join, calculates samples per 1000 km², and selects the ten highest-density sheets. However, the supplied result is not exactly reproducible from the supplied gold code and current frozen dataset. The rerun counts 409,281 samples in WIDGIEMOOLTHA, whereas the supplied result contains 409,277. Independent secondary validation confirms that WIDGIEMOOLTHA consists of one polygon, has 409,281 distinct samples both within and intersecting the polygon, has no boundary-only samples, and has no samples simultaneously within another map sheet. Across all 163 map sheets, no sample matches more than one distinct sheet and the global drop_duplicates(‘uid’) operation changes no sheet counts. Therefore, the four-sample discrepancy cannot be explained by overlapping map sheets, duplicate assignment, or boundary-predicate behaviour in the current frozen data. The supplied gold result should be regenerated or its provenance investigated.</t>
  </si>
  <si>
    <t>NS3-024</t>
  </si>
  <si>
    <t>Count stream sediment samples within 20 km of Kambalda, building the sample geometry from the table's stored geometry column rather than from the longitude/latitude fields.</t>
  </si>
  <si>
    <t>NS3-024.csv</t>
  </si>
  <si>
    <t>NS3-024_rerun.csv</t>
  </si>
  <si>
    <t>The supplied GeoPandas code executes successfully and exactly reproduces the supplied one-row result of 3 stream-sediment samples within 20 km of Kambalda. It correctly addresses the R-schema requirement by reading and using the stored geometry column from surface_sample.parquet rather than reconstructing sample points from longitude and latitude. The analysis correctly filters to stream_sed samples, projects both the stored sample geometries and the Kambalda townsite geometry to EPSG:7851, and evaluates the 20 km threshold as a 20,000 m distance in a projected CRS. The &lt;= 20000 condition is consistent with “within 20 km,” and the output directly reports the requested count. No semantic, spatial, aggregation, or output inconsistency was identified.</t>
  </si>
  <si>
    <t>Are the manganese anomalies clustered or spread out?</t>
  </si>
  <si>
    <t>NS3-030_rerun.csv</t>
  </si>
  <si>
    <t>The supplied code executes successfully and exactly reproduces the three-row result. It appropriately handles the R-ambig wording by evaluating three alternative definitions of a manganese anomaly (95th, 99th and 99.9th percentiles) rather than assuming a single unstated threshold. Nearest-neighbour distances are calculated after projection to EPSG:9473, self-matches are excluded, and all three anomaly definitions produce nearest-neighbour indices substantially below 1 (0.085, 0.069 and 0.026), consistently supporting the reported clustered classification. However, the expected random nearest-neighbour distance is based on the rectangular total_bounds of each anomaly subset rather than an independently defined sampling/study area, so the numerical NN index depends on an implicit study-area assumption and does not explicitly correct for boundary effects. The analysis also applies an unstated 0 &lt; Mn &lt; 500,000 ppm validity filter. These methodological assumptions should be documented, although they do not overturn the consistently strong clustering result in the supplied analysis.</t>
  </si>
  <si>
    <t>Which greenstone belts contain the most stream sediment samples?</t>
  </si>
  <si>
    <t>NS3-034_rerun.csv</t>
  </si>
  <si>
    <t>The supplied GeoPandas code executes successfully and exactly reproduces the supplied 12-row result. It correctly filters surface samples to stream sediment, constructs point geometries in EPSG:7844, uses a within spatial join to identify samples contained by mapped greenstone polygons, groups the matches by tect_name, and ranks the resulting counts in descending order. The preliminary total-bounds filter is only a spatial prefilter and does not replace the polygon containment test. One qualification is that the final counts use the number of spatial-join rows rather than distinct sample uid values per tect_name. If polygons belonging to the same tect_name overlap, a sample within multiple such polygons could therefore be counted more than once. No evidence of such duplicate counting is established by the current rerun, so this is recorded as a methodological qualification rather than a failure.</t>
  </si>
  <si>
    <t>Which map sheets have the highest median gold in soil? Restrict to sheets with at least 5000 soil samples.</t>
  </si>
  <si>
    <t>NS3-042_rerun.csv</t>
  </si>
  <si>
    <t>The supplied SQL executes successfully and reproduces the same eight map sheets and values as the supplied result. It correctly spatially assigns soil samples to map-sheet polygons, filters to positive Au values below 100 ppm, requires at least 5,000 qualifying records per sheet, and orders the sheets by median Au, identifying KALGOORLIE as having the highest median at 0.007 ppm. However, the SQL additionally restricts samples to longitude 120.5–122.5 and latitude -32.0–-28.5, although no geographic restriction is stated in the question. The ≥5,000 threshold is also applied after joining to assays and filtering Au rather than to all soil samples. The observed ordering difference occurs among tied rounded median values because no secondary tie-breaker is specified.</t>
  </si>
  <si>
    <t>NS3-044</t>
  </si>
  <si>
    <t>How many mineral occurrences fall inside greenstone belts, and how many outside?</t>
  </si>
  <si>
    <t>NS3-044.csv</t>
  </si>
  <si>
    <t>NS3-044_rerun.csv</t>
  </si>
  <si>
    <t>The supplied SQL executes successfully and exactly reproduces the supplied one-row result. It correctly uses a spatial containment test to identify mineral occurrences inside greenstone-belt polygons and applies DISTINCT site_code so that an occurrence intersecting multiple belt polygons is counted only once. Of 7,154 mineral occurrences, 2,011 are inside greenstone belts and 5,143 are outside, with the two groups summing exactly to the total; 28.1% of occurrences are inside. No duplicate, missing, negative or sentinel-value issues were identified in the output.</t>
  </si>
  <si>
    <t>NS4-018</t>
  </si>
  <si>
    <t>In groundwater, compute the Na/Cl molar ratio for each analysis with both measured, and report the median. Seawater-derived salinity sits near 0.86.</t>
  </si>
  <si>
    <t>NS4-018.csv</t>
  </si>
  <si>
    <t>NS4-018_rerun.csv</t>
  </si>
  <si>
    <t>The supplied SQL executes successfully and exactly reproduces the supplied one-row result. It correctly restricts the groundwater analyses to records with positive measured Na and Cl concentrations and converts the mg/L concentrations to molar quantities using atomic masses of 22.99 for Na and 35.45 for Cl before calculating the Na/Cl ratio. Across 26,194 qualifying analyses, the median Na/Cl molar ratio is 0.930, compared with the stated seawater reference of approximately 0.86. The additional mass-ratio median of 0.603 provides a useful distinction from the requested molar ratio. No duplicate, missing, negative or sentinel-value issues were identified in the output.</t>
  </si>
  <si>
    <t>NS4-020</t>
  </si>
  <si>
    <t>In stream sediments, is nickel more strongly correlated with chromium than with copper? Give both correlations and a verdict.</t>
  </si>
  <si>
    <t>NS4-020.csv</t>
  </si>
  <si>
    <t>NS4-020_rerun.csv</t>
  </si>
  <si>
    <t>The supplied Python code executes successfully and exactly reproduces the supplied one-row result. It correctly restricts the analysis to stream-sediment samples, joins samples to their assays by uid, excludes negative values separately for each element pair, and calculates Pearson correlations using the available Ni-Cr and Ni-Cu pairs. The Ni-Cr correlation is 0.2862 from 70,877 valid pairs, compared with 0.1734 for Ni-Cu from 92,886 valid pairs. Because 0.2862 is greater than 0.1734, the reported verdict that Ni-Cr is more strongly correlated is correct. No duplicate, missing, negative or sentinel-value issues were identified in the output.</t>
  </si>
  <si>
    <t>NS4-022</t>
  </si>
  <si>
    <t>Which of the classic gold-indicator elements (arsenic, antimony, bismuth, tungsten) tracks gold most closely in soils? Use the linear correlation coefficient.</t>
  </si>
  <si>
    <t>NS4-022.csv</t>
  </si>
  <si>
    <t>NS4-022_rerun.csv</t>
  </si>
  <si>
    <t>The supplied Python code executes successfully and exactly reproduces the supplied four-row result. It correctly restricts the analysis to soil samples, joins samples and assays by uid, forms valid non-negative Au-element pairs separately for As, Sb, Bi and W, and uses Pearson correlation as the requested linear correlation coefficient. Arsenic has the largest computable correlation with Au (r = 0.028129; n = 2,282,596), compared with Sb (0.000149; n = 1,177,304) and W (0.000041; n = 657,010). No valid Au-Bi pairs are available (n = 0), so the Bi correlation is correctly undefined (NaN) rather than zero. The R-para wording “tracks gold most closely” is appropriately resolved by the question’s explicit instruction to use linear correlation.</t>
  </si>
  <si>
    <t>NS4-030</t>
  </si>
  <si>
    <t>Where are the tin occurrences? Note that tin is not recorded under a single label.</t>
  </si>
  <si>
    <t>NS4-030.csv</t>
  </si>
  <si>
    <t>NS4-030_rerun.csv</t>
  </si>
  <si>
    <t>{'min_lat': 2, 'max_lat': 2}</t>
  </si>
  <si>
    <t>The supplied SQL executes successfully and exactly reproduces the supplied two-row result with the required ordering. It appropriately handles the R-schema issue by selecting both tin commodity labels represented as ‘Sn’ and ‘Sn, SnO2’, with 178 occurrences in each category, and summarises their geographic distribution using minimum and maximum longitude and latitude. The four negative numeric values occur only in the latitude bounds and are valid southern-hemisphere coordinates rather than invalid or sentinel values. No duplicate, missing or sentinel-value issues were identified in the output.</t>
  </si>
  <si>
    <t>Draw a log-log scatter of nickel against cobalt in soil, to show the laterite association.</t>
  </si>
  <si>
    <t>NS4-037_rerun.png</t>
  </si>
  <si>
    <t>The visualization correctly plots positive soil Co against positive soil Ni in ppm using logarithmic scales on both axes. The 60,000-point deterministic sample provides a practical representation of the dense dataset and visibly preserves the Ni–Co association. Non-positive/sentinel values are appropriately excluded for log plotting. However, the additional &lt;100000 ppm upper filters are not specified in the question and should be documented or justified.</t>
  </si>
  <si>
    <t>NS4-041.csv</t>
  </si>
  <si>
    <t>NS4-041_rerun.csv</t>
  </si>
  <si>
    <t>The supplied SQL executes successfully and exactly reproduces the supplied one-row result, and the chondrite-normalised La/Yb calculations are internally consistent. However, the europium-anomaly calculation is inconsistent with the methodology stated in the gold code itself. The comment defines Eu/Eu using Sm and Gd and states that, because Gd is unavailable, Sm and Nd will be used as an approximation. The implemented expression instead calculates eu_n / sqrt(sm_n * la_n), using La rather than Nd, while Nd is not selected or used at all despite an Nd normalisation value being documented. Consequently, the reported median Eu anomaly of 0.410 and the count of 16,297 negative Eu anomalies cannot be accepted as a correct implementation of the stated Eu-anomaly method without correction or client adjudication.*</t>
  </si>
  <si>
    <t>Do gold and arsenic anomalies occur in the same places? Compare their 5 km cell rankings in the Kalgoorlie box.</t>
  </si>
  <si>
    <t>NS4-044_rerun.csv</t>
  </si>
  <si>
    <t>The supplied code executes successfully and exactly reproduces the supplied one-row result. It correctly restricts the analysis to soil samples in the stated Kalgoorlie bounding box, projects sample locations to EPSG:7851 before constructing 5 km cells, calculates cell-level 90th-percentile Au and As values, ranks the cells independently for each element, and compares those rankings using Spearman correlation and Top-20 overlap. The resulting 277 cells have a Spearman rank correlation of 0.446, with 2 cells appearing in both Top-20 rankings. However, both element rankings are calculated only from samples having simultaneously positive Au and As values and after applying unstated upper cutoffs of Au &lt; 100 ppm and As &lt; 100,000 ppm. Cells with fewer than 20 such paired samples are also excluded. These are reasonable possible quality/stability rules but are not specified by the question and mean the result represents rankings among a restricted common-valid sample population rather than independently using all valid measurements for each element.</t>
  </si>
  <si>
    <t>NS4-051.csv</t>
  </si>
  <si>
    <t>NS4-051_rerun.csv</t>
  </si>
  <si>
    <t>The supplied SQL executes successfully and exactly reproduces the supplied four-row result, and the conversion of &gt;10 wt% Ni to &gt;100,000 ppm is correct. However, the question asks to find the surface samples exceeding this threshold, while the supplied query groups them by sampling medium and returns only aggregate counts and concentration ranges rather than identifying the individual samples. In addition, the R-premise statement that such samples “would be massive sulphide” is not established by Ni concentration alone. The extremely high reported values, including maxima of 1,000,000 ppm (100 wt%) for soil and shallow-drill samples, reinforce the gold-code comment that these records require individual data-quality or magnitude checks rather than automatic geological classification as massive sulphide.</t>
  </si>
  <si>
    <t>NS4-055</t>
  </si>
  <si>
    <t>Draw a Schoeller diagram of the major ions for a sample of groundwater analyses: concentrations in milliequivalents on a log axis, one line per analysis.</t>
  </si>
  <si>
    <t>NS4-055.png</t>
  </si>
  <si>
    <t>NS4-055_rerun.png</t>
  </si>
  <si>
    <t>The code produces a Schoeller diagram from 150 groundwater analyses using six major ions (Ca, Mg, Na, Cl, SO4 and HCO3), converted from mg/L to meq/L. Each analysis is represented by a six-point line on a logarithmic concentration axis, with an additional median profile for context. The displayed conversion values are consistent with standard milliequivalent conversions, and the supplied and rerun figures are semantically consistent.</t>
  </si>
  <si>
    <t>NS5-023</t>
  </si>
  <si>
    <t>Plot element detection rate as a heatmap: sampling medium on one axis, the elements Au, Cu, Ni, Li, W and Pt on the other.</t>
  </si>
  <si>
    <t>NS5-023.png</t>
  </si>
  <si>
    <t>NS5-023_rerun.png</t>
  </si>
  <si>
    <t>Heatmap correctly reproduces the requested medium-by-element comparison, but “measured” is operationally defined as value &gt;= 0. This excludes both missing sentinels and negative censored/non-detect values. Pt is absent from the source table and is represented as an artificial all-NaN column giving 0.00 rather than as unavailable.</t>
  </si>
  <si>
    <t>NS5-026</t>
  </si>
  <si>
    <t>I want to see how arsenic differs between the four sampling media. Box plots please, and put the y-axis on a log scale because the values span orders of magnitude.</t>
  </si>
  <si>
    <t>NS5-026.png</t>
  </si>
  <si>
    <t>NS5-026_rerun.png</t>
  </si>
  <si>
    <t>Correctly compares positive arsenic measurements across all four sampling media using box plots with As in ppm on the requested logarithmic y-axis. Supplied and rerun figures are semantically consistent.</t>
  </si>
  <si>
    <t>Draw a histogram of soil gold values on a log axis.</t>
  </si>
  <si>
    <t>NS5-030_rerun.png</t>
  </si>
  <si>
    <t>The supplied code executes successfully and reproduces the supplied visualization. It correctly selects soil samples, excludes non-positive Au values required for logarithmic plotting, uses logarithmically spaced histogram bins, and displays Au in ppm on a logarithmic x-axis. However, the code additionally excludes Au values at or above 100 ppm, although the question does not specify an upper cutoff. Therefore, the figure correctly represents the distribution of positive soil Au below 100 ppm, but not necessarily the complete positive soil Au distribution requested.</t>
  </si>
  <si>
    <t>NS5-035</t>
  </si>
  <si>
    <t>Show me the copper anomalies.</t>
  </si>
  <si>
    <t>NS5-035.png</t>
  </si>
  <si>
    <t>NS5-035_rerun.png</t>
  </si>
  <si>
    <t>The supplied code executes successfully and reproduces the supplied visualization. Because “copper anomalies” does not define an anomaly threshold, showing P95, P99 and P99.9 percentile cutoffs is an appropriate sensitivity analysis for this R-ambig question. Each panel correctly maps soil samples exceeding its stated percentile threshold against the background soil-sample distribution, and the supplied and rerun figures are semantically consistent. However, the percentile thresholds are calculated only after applying an unstated Cu &lt; 100,000 ppm upper cutoff, so the anomaly definition is based on a truncated positive-Cu distribution.</t>
  </si>
  <si>
    <t>NS5-038</t>
  </si>
  <si>
    <t>Prepare the bin counts for a log-scale histogram of soil gold: decade bin and sample count.</t>
  </si>
  <si>
    <t>NS5-038.csv</t>
  </si>
  <si>
    <t>NS5-038_rerun.csv</t>
  </si>
  <si>
    <t>{'log10_bin': 10}</t>
  </si>
  <si>
    <t>The supplied SQL executes successfully and exactly reproduces the supplied 12-row result with the required ordering. It correctly restricts the data to positive soil Au measurements below 100 ppm, assigns each measurement to a base-10 decade using floor(log10(au_ppm)), and counts the samples in each decade, producing the requested bin-count table for a log-scale histogram. The 10 negative numeric values occur only in log10_bin and correctly represent concentration decades below 1 ppm rather than invalid negative Au measurements. Very small bin lower bounds round to 0.000000 at six decimal places, but this does not affect the actual decade grouping, which is based on log10_bin. No duplicate, missing or sentinel-value issues were identified.</t>
  </si>
  <si>
    <t>NS5-044</t>
  </si>
  <si>
    <t>Prepare ECDF points for soil gold, thinned to 200 points so they can be plotted directly.</t>
  </si>
  <si>
    <t>NS5-044.csv</t>
  </si>
  <si>
    <t>NS5-044_rerun.csv</t>
  </si>
  <si>
    <t>The supplied Python code executes successfully and exactly reproduces the supplied 200-row result. It correctly restricts the data to soil samples, joins samples and Au assays by uid, retains 3,497,932 positive Au measurements below 100 ppm, and represents their empirical distribution at 200 evenly spaced cumulative probabilities from 0 to 1. The corresponding empirical quantiles provide a valid 200-point thinned ECDF representation that can be plotted directly. The apparent 0.000000 Au value at cumulative fraction 0 results from rounding a very small positive minimum to six decimal places rather than inclusion of zero-valued assays. No duplicate, missing, negative or sentinel-value issues were identified in the output.</t>
  </si>
  <si>
    <t>Prepare a transect profile: sample gold values along an east-west line at latitude -31.2, within 2 km of the line.</t>
  </si>
  <si>
    <t>NS5-045_rerun.csv</t>
  </si>
  <si>
    <t>The supplied GeoPandas code executes successfully and exactly reproduces the supplied 1,424-row result. It constructs an east-west transect at latitude -31.2, projects both soil-sample points and the transect from EPSG:7844 to EPSG:7851, calculates sample-to-line distance in metres, correctly applies the &lt;=2,000 m criterion, and uses line.project() to obtain a meaningful along-transect coordinate for profile ordering. The returned uid, along-line distance, perpendicular distance and Au value are suitable plot-ready profile data. However, the analysis implicitly defines the transect endpoints as longitudes 121.4 and 121.9 although these endpoints are not stated in the question, and it applies an unstated 0 &lt; Au &lt; 100 ppm validity filter. Thus the spatial calculation is correct for the implemented transect segment, but the exact sample population depends on assumptions not specified in the question. Apparent 0.0 Au values in the result do not contradict the &gt;0 filter because positive values are rounded to one decimal place in the final output.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</si>
</sst>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1"/>
      <name val="Carlito"/>
    </font>
    <font>
      <b/>
      <sz val="11"/>
      <color rgb="FFFFFFFF"/>
      <name val="Carlito"/>
    </font>
    <font>
      <b/>
      <sz val="18"/>
      <color rgb="FFFFFFFF"/>
      <name val="Carlito"/>
    </font>
    <font>
      <i/>
      <sz val="11"/>
      <color rgb="FF1F1F1F"/>
      <name val="Carlito"/>
    </font>
    <font>
      <b/>
      <sz val="11"/>
      <name val="Carlito"/>
    </font>
  </fonts>
  <fills count="5">
    <fill>
      <patternFill patternType="none"/>
    </fill>
    <fill>
      <patternFill patternType="gray125"/>
    </fill>
    <fill>
      <patternFill patternType="solid">
        <fgColor rgb="FF17365D"/>
      </patternFill>
    </fill>
    <fill>
      <patternFill patternType="solid">
        <fgColor rgb="FFD9EAF7"/>
      </patternFill>
    </fill>
    <fill>
      <patternFill patternType="solid">
        <fgColor rgb="FFF3F6F9"/>
      </patternFill>
    </fill>
  </fills>
  <borders count="1">
    <border>
      <left/>
      <right/>
      <top/>
      <bottom/>
      <diagonal/>
    </border>
  </borders>
  <cellStyleXfs count="1">
    <xf numFmtId="0" fontId="0" fillId="0" borderId="0"/>
  </cellStyleXfs>
  <cellXfs count="10">
    <xf numFmtId="0" fontId="0" fillId="0" borderId="0" xfId="0"/>
    <xf numFmtId="0" fontId="1" fillId="2" borderId="0" xfId="0" applyFont="1" applyFill="1" applyAlignment="1">
      <alignment horizontal="center" vertical="top" wrapText="1"/>
    </xf>
    <xf numFmtId="0" fontId="0" fillId="0" borderId="0" xfId="0" applyAlignment="1">
      <alignment vertical="top" wrapText="1"/>
    </xf>
    <xf numFmtId="0" fontId="0" fillId="0" borderId="0" xfId="0" applyAlignment="1">
      <alignment vertical="top" wrapText="1"/>
      <extLst>
        <ext xmlns:xfpb="http://schemas.microsoft.com/office/spreadsheetml/2022/featurepropertybag" uri="{C7286773-470A-42A8-94C5-96B5CB345126}">
          <xfpb:xfComplement i="0"/>
        </ext>
      </extLst>
    </xf>
    <xf numFmtId="0" fontId="0" fillId="0" borderId="0" xfId="0" applyAlignment="1">
      <alignment vertical="top"/>
    </xf>
    <xf numFmtId="0" fontId="4" fillId="3" borderId="0" xfId="0" applyFont="1" applyFill="1" applyAlignment="1">
      <alignment vertical="top" wrapText="1"/>
    </xf>
    <xf numFmtId="0" fontId="1" fillId="2" borderId="0" xfId="0" applyFont="1" applyFill="1" applyAlignment="1">
      <alignment horizontal="center" vertical="top"/>
    </xf>
    <xf numFmtId="0" fontId="0" fillId="4" borderId="0" xfId="0" applyFill="1" applyAlignment="1">
      <alignment vertical="top" wrapText="1"/>
    </xf>
    <xf numFmtId="0" fontId="2" fillId="2" borderId="0" xfId="0" applyFont="1" applyFill="1" applyAlignment="1">
      <alignment horizontal="left" vertical="center"/>
    </xf>
    <xf numFmtId="0" fontId="3" fillId="3" borderId="0" xfId="0" applyFont="1" applyFill="1" applyAlignment="1">
      <alignment vertical="center"/>
    </xf>
  </cellXfs>
  <cellStyles count="1">
    <cellStyle name="Normal" xfId="0" builtinId="0"/>
  </cellStyles>
  <dxfs count="6">
    <dxf>
      <fill>
        <patternFill patternType="solid">
          <bgColor rgb="FFE7E6E6"/>
        </patternFill>
      </fill>
    </dxf>
    <dxf>
      <fill>
        <patternFill patternType="solid">
          <bgColor rgb="FFFFF2CC"/>
        </patternFill>
      </fill>
    </dxf>
    <dxf>
      <fill>
        <patternFill patternType="solid">
          <bgColor rgb="FFE2F0D9"/>
        </patternFill>
      </fill>
    </dxf>
    <dxf>
      <font>
        <b/>
      </font>
      <fill>
        <patternFill patternType="solid">
          <bgColor rgb="FFFCE4D6"/>
        </patternFill>
      </fill>
    </dxf>
    <dxf>
      <font>
        <b/>
      </font>
      <fill>
        <patternFill patternType="solid">
          <bgColor rgb="FFFFF2CC"/>
        </patternFill>
      </fill>
    </dxf>
    <dxf>
      <font>
        <b/>
      </font>
      <fill>
        <patternFill patternType="solid">
          <bgColor rgb="FFFCE4D6"/>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22/11/relationships/FeaturePropertyBag" Target="featurePropertyBag/featurePropertyBag.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calcChain" Target="calcChain.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a:lstStyle/>
          <a:p>
            <a:r>
              <a:rPr lang="en-US"/>
              <a:t>Formal Error Entries by Reviewer</a:t>
            </a:r>
          </a:p>
        </c:rich>
      </c:tx>
      <c:overlay val="1"/>
    </c:title>
    <c:autoTitleDeleted val="0"/>
    <c:plotArea>
      <c:layout/>
      <c:barChart>
        <c:barDir val="col"/>
        <c:grouping val="clustered"/>
        <c:varyColors val="0"/>
        <c:ser>
          <c:idx val="0"/>
          <c:order val="0"/>
          <c:tx>
            <c:v>Formal Errors</c:v>
          </c:tx>
          <c:invertIfNegative val="1"/>
          <c:cat>
            <c:strRef>
              <c:f>'Executive Summary'!$A$13:$A$17</c:f>
              <c:strCache>
                <c:ptCount val="5"/>
                <c:pt idx="0">
                  <c:v>Ziyue</c:v>
                </c:pt>
                <c:pt idx="1">
                  <c:v>Sarwesh</c:v>
                </c:pt>
                <c:pt idx="2">
                  <c:v>Chaitanya</c:v>
                </c:pt>
                <c:pt idx="3">
                  <c:v>Dilani</c:v>
                </c:pt>
                <c:pt idx="4">
                  <c:v>Thomas</c:v>
                </c:pt>
              </c:strCache>
            </c:strRef>
          </c:cat>
          <c:val>
            <c:numRef>
              <c:f>'Executive Summary'!$B$13:$B$17</c:f>
              <c:numCache>
                <c:formatCode>General</c:formatCode>
                <c:ptCount val="5"/>
                <c:pt idx="0">
                  <c:v>23</c:v>
                </c:pt>
                <c:pt idx="1">
                  <c:v>4</c:v>
                </c:pt>
                <c:pt idx="2">
                  <c:v>2</c:v>
                </c:pt>
                <c:pt idx="3">
                  <c:v>3</c:v>
                </c:pt>
                <c:pt idx="4">
                  <c:v>7</c:v>
                </c:pt>
              </c:numCache>
            </c:numRef>
          </c:val>
          <c:extLst>
            <c:ext xmlns:c16="http://schemas.microsoft.com/office/drawing/2014/chart" uri="{C3380CC4-5D6E-409C-BE32-E72D297353CC}">
              <c16:uniqueId val="{00000000-F2CF-4731-937A-8F70AA82BEDF}"/>
            </c:ext>
          </c:extLst>
        </c:ser>
        <c:dLbls>
          <c:showLegendKey val="0"/>
          <c:showVal val="0"/>
          <c:showCatName val="0"/>
          <c:showSerName val="0"/>
          <c:showPercent val="0"/>
          <c:showBubbleSize val="0"/>
        </c:dLbls>
        <c:gapWidth val="150"/>
        <c:axId val="48650112"/>
        <c:axId val="48672768"/>
      </c:barChart>
      <c:catAx>
        <c:axId val="48650112"/>
        <c:scaling>
          <c:orientation val="minMax"/>
        </c:scaling>
        <c:delete val="0"/>
        <c:axPos val="b"/>
        <c:majorGridlines>
          <c:spPr>
            <a:ln w="9525">
              <a:solidFill>
                <a:srgbClr val="CCCCCC"/>
              </a:solidFill>
              <a:prstDash val="dash"/>
            </a:ln>
          </c:spPr>
        </c:majorGridlines>
        <c:numFmt formatCode="General" sourceLinked="1"/>
        <c:majorTickMark val="none"/>
        <c:minorTickMark val="none"/>
        <c:tickLblPos val="nextTo"/>
        <c:crossAx val="48672768"/>
        <c:crosses val="autoZero"/>
        <c:auto val="1"/>
        <c:lblAlgn val="ctr"/>
        <c:lblOffset val="100"/>
        <c:noMultiLvlLbl val="0"/>
      </c:catAx>
      <c:valAx>
        <c:axId val="48672768"/>
        <c:scaling>
          <c:orientation val="minMax"/>
        </c:scaling>
        <c:delete val="0"/>
        <c:axPos val="l"/>
        <c:majorGridlines>
          <c:spPr>
            <a:ln w="9525">
              <a:solidFill>
                <a:srgbClr val="CCCCCC"/>
              </a:solidFill>
              <a:prstDash val="dash"/>
            </a:ln>
          </c:spPr>
        </c:majorGridlines>
        <c:numFmt formatCode="General" sourceLinked="1"/>
        <c:majorTickMark val="none"/>
        <c:minorTickMark val="none"/>
        <c:tickLblPos val="nextTo"/>
        <c:crossAx val="48650112"/>
        <c:crosses val="autoZero"/>
        <c:crossBetween val="between"/>
      </c:valAx>
    </c:plotArea>
    <c:plotVisOnly val="1"/>
    <c:dispBlanksAs val="zero"/>
    <c:showDLblsOverMax val="1"/>
  </c:chart>
  <c:spPr>
    <a:ln w="9525">
      <a:solidFill>
        <a:srgbClr val="D9D9D9"/>
      </a:solidFill>
      <a:prstDash val="solid"/>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3</xdr:col>
      <xdr:colOff>0</xdr:colOff>
      <xdr:row>11</xdr:row>
      <xdr:rowOff>0</xdr:rowOff>
    </xdr:from>
    <xdr:to>
      <xdr:col>9</xdr:col>
      <xdr:colOff>0</xdr:colOff>
      <xdr:row>26</xdr:row>
      <xdr:rowOff>0</xdr:rowOff>
    </xdr:to>
    <xdr:graphicFrame macro="">
      <xdr:nvGraphicFramePr>
        <xdr:cNvPr id="2" name="Chart">
          <a:extLst>
            <a:ext uri="{FF2B5EF4-FFF2-40B4-BE49-F238E27FC236}">
              <a16:creationId xmlns:a16="http://schemas.microsoft.com/office/drawing/2014/main" id="{00000000-0008-0000-00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FeaturePropertyBag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CombinedErrorRegister" displayName="CombinedErrorRegister" ref="A1:L40" totalsRowShown="0">
  <tableColumns count="12">
    <tableColumn id="1" xr3:uid="{00000000-0010-0000-0000-000001000000}" name="Reviewer"/>
    <tableColumn id="2" xr3:uid="{00000000-0010-0000-0000-000002000000}" name="Query ID"/>
    <tableColumn id="3" xr3:uid="{00000000-0010-0000-0000-000003000000}" name="Query Type"/>
    <tableColumn id="4" xr3:uid="{00000000-0010-0000-0000-000004000000}" name="Method"/>
    <tableColumn id="5" xr3:uid="{00000000-0010-0000-0000-000005000000}" name="Issue"/>
    <tableColumn id="6" xr3:uid="{00000000-0010-0000-0000-000006000000}" name="Question (EN)"/>
    <tableColumn id="7" xr3:uid="{00000000-0010-0000-0000-000007000000}" name="Observed Result / Evidence"/>
    <tableColumn id="8" xr3:uid="{00000000-0010-0000-0000-000008000000}" name="Recommended Correction / Next Check"/>
    <tableColumn id="9" xr3:uid="{00000000-0010-0000-0000-000009000000}" name="Retest Acceptance"/>
    <tableColumn id="10" xr3:uid="{00000000-0010-0000-0000-00000A000000}" name="Status"/>
    <tableColumn id="11" xr3:uid="{00000000-0010-0000-0000-00000B000000}" name="Priority"/>
    <tableColumn id="12" xr3:uid="{00000000-0010-0000-0000-00000C000000}" name="Source Workbook"/>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CombinedReviewNotes" displayName="CombinedReviewNotes" ref="A1:H59" totalsRowShown="0">
  <tableColumns count="8">
    <tableColumn id="1" xr3:uid="{00000000-0010-0000-0100-000001000000}" name="Reviewer"/>
    <tableColumn id="2" xr3:uid="{00000000-0010-0000-0100-000002000000}" name="Query ID / Scope"/>
    <tableColumn id="3" xr3:uid="{00000000-0010-0000-0100-000003000000}" name="Topic"/>
    <tableColumn id="4" xr3:uid="{00000000-0010-0000-0100-000004000000}" name="Recorded Verdict / Status"/>
    <tableColumn id="5" xr3:uid="{00000000-0010-0000-0100-000005000000}" name="Qualification / Review Note"/>
    <tableColumn id="6" xr3:uid="{00000000-0010-0000-0100-000006000000}" name="Recommended Follow-up / Action"/>
    <tableColumn id="7" xr3:uid="{00000000-0010-0000-0100-000007000000}" name="Evidence File / Test"/>
    <tableColumn id="8" xr3:uid="{00000000-0010-0000-0100-000008000000}" name="Source Workbook"/>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CombinedAllQueryReviews" displayName="CombinedAllQueryReviews" ref="A1:AQ350" totalsRowShown="0">
  <tableColumns count="43">
    <tableColumn id="1" xr3:uid="{00000000-0010-0000-0200-000001000000}" name="Reviewer"/>
    <tableColumn id="2" xr3:uid="{00000000-0010-0000-0200-000002000000}" name="Query ID"/>
    <tableColumn id="3" xr3:uid="{00000000-0010-0000-0200-000003000000}" name="Domain / Category"/>
    <tableColumn id="4" xr3:uid="{00000000-0010-0000-0200-000004000000}" name="Query Type"/>
    <tableColumn id="5" xr3:uid="{00000000-0010-0000-0200-000005000000}" name="Method"/>
    <tableColumn id="6" xr3:uid="{00000000-0010-0000-0200-000006000000}" name="Difficulty"/>
    <tableColumn id="7" xr3:uid="{00000000-0010-0000-0200-000007000000}" name="Question (EN)"/>
    <tableColumn id="8" xr3:uid="{00000000-0010-0000-0200-000008000000}" name="Expected Rows"/>
    <tableColumn id="9" xr3:uid="{00000000-0010-0000-0200-000009000000}" name="Reference / Supplied Result"/>
    <tableColumn id="10" xr3:uid="{00000000-0010-0000-0200-00000A000000}" name="Verification Result"/>
    <tableColumn id="11" xr3:uid="{00000000-0010-0000-0200-00000B000000}" name="Reference / Supplied Rows"/>
    <tableColumn id="12" xr3:uid="{00000000-0010-0000-0200-00000C000000}" name="Verification Rows"/>
    <tableColumn id="13" xr3:uid="{00000000-0010-0000-0200-00000D000000}" name="Row Count / Expected Rows Check"/>
    <tableColumn id="14" xr3:uid="{00000000-0010-0000-0200-00000E000000}" name="Column / Schema Check"/>
    <tableColumn id="15" xr3:uid="{00000000-0010-0000-0200-00000F000000}" name="Value / Result Match"/>
    <tableColumn id="16" xr3:uid="{00000000-0010-0000-0200-000010000000}" name="Duplicate Rows"/>
    <tableColumn id="17" xr3:uid="{00000000-0010-0000-0200-000011000000}" name="Missing Cells"/>
    <tableColumn id="18" xr3:uid="{00000000-0010-0000-0200-000012000000}" name="Negative Numeric Cells"/>
    <tableColumn id="19" xr3:uid="{00000000-0010-0000-0200-000013000000}" name="Negative Values by Column"/>
    <tableColumn id="20" xr3:uid="{00000000-0010-0000-0200-000014000000}" name="Sentinel Check"/>
    <tableColumn id="21" xr3:uid="{00000000-0010-0000-0200-000015000000}" name="Executable / File Present"/>
    <tableColumn id="22" xr3:uid="{00000000-0010-0000-0200-000016000000}" name="Supplied Query Runs"/>
    <tableColumn id="23" xr3:uid="{00000000-0010-0000-0200-000017000000}" name="Unit Check"/>
    <tableColumn id="24" xr3:uid="{00000000-0010-0000-0200-000018000000}" name="CRS Check"/>
    <tableColumn id="25" xr3:uid="{00000000-0010-0000-0200-000019000000}" name="Domain Check"/>
    <tableColumn id="26" xr3:uid="{00000000-0010-0000-0200-00001A000000}" name="Logic Check"/>
    <tableColumn id="27" xr3:uid="{00000000-0010-0000-0200-00001B000000}" name="Gold Valid"/>
    <tableColumn id="28" xr3:uid="{00000000-0010-0000-0200-00001C000000}" name="Output / Visualisation Match"/>
    <tableColumn id="29" xr3:uid="{00000000-0010-0000-0200-00001D000000}" name="Tables, Fields and Joins"/>
    <tableColumn id="30" xr3:uid="{00000000-0010-0000-0200-00001E000000}" name="Spatial / Domain Correctness"/>
    <tableColumn id="31" xr3:uid="{00000000-0010-0000-0200-00001F000000}" name="Data Quality Concern"/>
    <tableColumn id="32" xr3:uid="{00000000-0010-0000-0200-000020000000}" name="Geological Expert Review"/>
    <tableColumn id="33" xr3:uid="{00000000-0010-0000-0200-000021000000}" name="Overall / Review Outcome"/>
    <tableColumn id="34" xr3:uid="{00000000-0010-0000-0200-000022000000}" name="Requires Client Clarification"/>
    <tableColumn id="35" xr3:uid="{00000000-0010-0000-0200-000023000000}" name="Independent Rerun"/>
    <tableColumn id="36" xr3:uid="{00000000-0010-0000-0200-000024000000}" name="Rerun Comparison"/>
    <tableColumn id="37" xr3:uid="{00000000-0010-0000-0200-000025000000}" name="Rerun Summary"/>
    <tableColumn id="38" xr3:uid="{00000000-0010-0000-0200-000026000000}" name="Finding / Corrected Result"/>
    <tableColumn id="39" xr3:uid="{00000000-0010-0000-0200-000027000000}" name="Evidence Test"/>
    <tableColumn id="40" xr3:uid="{00000000-0010-0000-0200-000028000000}" name="Decisive Evidence / Reviewer Justification"/>
    <tableColumn id="41" xr3:uid="{00000000-0010-0000-0200-000029000000}" name="Chinese Notes"/>
    <tableColumn id="42" xr3:uid="{00000000-0010-0000-0200-00002A000000}" name="Gold Runtime (s)"/>
    <tableColumn id="43" xr3:uid="{00000000-0010-0000-0200-00002B000000}" name="Source Workbook"/>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21"/>
  <sheetViews>
    <sheetView tabSelected="1" zoomScaleNormal="100" zoomScaleSheetLayoutView="100" workbookViewId="0">
      <selection sqref="A1:O1"/>
    </sheetView>
  </sheetViews>
  <sheetFormatPr defaultRowHeight="14"/>
  <cols>
    <col min="1" max="2" width="14" customWidth="1"/>
    <col min="4" max="4" width="14" customWidth="1"/>
    <col min="5" max="5" width="10" customWidth="1"/>
    <col min="6" max="6" width="12" customWidth="1"/>
    <col min="7" max="7" width="10" customWidth="1"/>
    <col min="8" max="8" width="8" customWidth="1"/>
    <col min="9" max="9" width="12" customWidth="1"/>
    <col min="10" max="10" width="8" customWidth="1"/>
    <col min="11" max="11" width="13" customWidth="1"/>
    <col min="12" max="12" width="8" customWidth="1"/>
    <col min="13" max="13" width="10" customWidth="1"/>
    <col min="14" max="14" width="12" customWidth="1"/>
    <col min="15" max="15" width="14" customWidth="1"/>
  </cols>
  <sheetData>
    <row r="1" spans="1:15" ht="34" customHeight="1">
      <c r="A1" s="8" t="s">
        <v>0</v>
      </c>
      <c r="B1" s="8"/>
      <c r="C1" s="8"/>
      <c r="D1" s="8"/>
      <c r="E1" s="8"/>
      <c r="F1" s="8"/>
      <c r="G1" s="8"/>
      <c r="H1" s="8"/>
      <c r="I1" s="8"/>
      <c r="J1" s="8"/>
      <c r="K1" s="8"/>
      <c r="L1" s="8"/>
      <c r="M1" s="8"/>
      <c r="N1" s="8"/>
      <c r="O1" s="8"/>
    </row>
    <row r="2" spans="1:15" ht="24" customHeight="1">
      <c r="A2" s="9" t="s">
        <v>1</v>
      </c>
      <c r="B2" s="9"/>
      <c r="C2" s="9"/>
      <c r="D2" s="9"/>
      <c r="E2" s="9"/>
      <c r="F2" s="9"/>
      <c r="G2" s="9"/>
      <c r="H2" s="9"/>
      <c r="I2" s="9"/>
      <c r="J2" s="9"/>
      <c r="K2" s="9"/>
      <c r="L2" s="9"/>
      <c r="M2" s="9"/>
      <c r="N2" s="9"/>
      <c r="O2" s="9"/>
    </row>
    <row r="4" spans="1:15" ht="30" customHeight="1">
      <c r="A4" s="1" t="s">
        <v>2</v>
      </c>
      <c r="B4" s="1" t="s">
        <v>3</v>
      </c>
      <c r="C4" s="4"/>
      <c r="D4" s="1" t="s">
        <v>4</v>
      </c>
      <c r="E4" s="1" t="s">
        <v>5</v>
      </c>
      <c r="F4" s="1" t="s">
        <v>6</v>
      </c>
      <c r="G4" s="1" t="s">
        <v>7</v>
      </c>
      <c r="H4" s="1" t="s">
        <v>8</v>
      </c>
      <c r="I4" s="1" t="s">
        <v>9</v>
      </c>
      <c r="J4" s="1" t="s">
        <v>10</v>
      </c>
      <c r="K4" s="1" t="s">
        <v>11</v>
      </c>
      <c r="L4" s="1" t="s">
        <v>12</v>
      </c>
      <c r="M4" s="1" t="s">
        <v>13</v>
      </c>
      <c r="N4" s="1" t="s">
        <v>14</v>
      </c>
      <c r="O4" s="1" t="s">
        <v>15</v>
      </c>
    </row>
    <row r="5" spans="1:15" ht="28">
      <c r="A5" s="2" t="s">
        <v>16</v>
      </c>
      <c r="B5" s="2">
        <f>COUNTA('All Query Reviews'!B2:B350)</f>
        <v>349</v>
      </c>
      <c r="C5" s="4"/>
      <c r="D5" s="2" t="s">
        <v>17</v>
      </c>
      <c r="E5" s="2">
        <f>COUNTIF('All Query Reviews'!$A$2:$A$350,D5)</f>
        <v>69</v>
      </c>
      <c r="F5" s="2">
        <f>COUNTIF('Error Register'!$A$2:$A$40,D5)</f>
        <v>23</v>
      </c>
      <c r="G5" s="2">
        <f>COUNTIF('Review Notes'!$A$2:$A$59,D5)</f>
        <v>27</v>
      </c>
      <c r="H5" s="2">
        <f>COUNTIFS('All Query Reviews'!$A$2:$A$350,D5,'All Query Reviews'!$AG$2:$AG$350,"Pass")</f>
        <v>19</v>
      </c>
      <c r="I5" s="2">
        <f>COUNTIFS('All Query Reviews'!$A$2:$A$350,D5,'All Query Reviews'!$AG$2:$AG$350,"Pass with note")</f>
        <v>27</v>
      </c>
      <c r="J5" s="2">
        <f>COUNTIFS('All Query Reviews'!$A$2:$A$350,D5,'All Query Reviews'!$AG$2:$AG$350,"Fail")</f>
        <v>23</v>
      </c>
      <c r="K5" s="2">
        <f>COUNTIFS('All Query Reviews'!$A$2:$A$350,D5,'All Query Reviews'!$AG$2:$AG$350,"Requires manual semantic review")</f>
        <v>0</v>
      </c>
      <c r="L5" s="2">
        <f>COUNTIFS('All Query Reviews'!$A$2:$A$350,D5,'All Query Reviews'!$AG$2:$AG$350,"Match")</f>
        <v>0</v>
      </c>
      <c r="M5" s="2">
        <f>COUNTIFS('All Query Reviews'!$A$2:$A$350,D5,'All Query Reviews'!$AG$2:$AG$350,"Mismatch")</f>
        <v>0</v>
      </c>
      <c r="N5" s="2">
        <f>COUNTIFS('All Query Reviews'!$A$2:$A$350,D5,'All Query Reviews'!$AG$2:$AG$350,"Valid refusal")</f>
        <v>0</v>
      </c>
      <c r="O5" s="2">
        <f>COUNTIFS('All Query Reviews'!$A$2:$A$350,D5,'All Query Reviews'!$AG$2:$AG$350,"Reference-only")</f>
        <v>0</v>
      </c>
    </row>
    <row r="6" spans="1:15" ht="28">
      <c r="A6" s="2" t="s">
        <v>18</v>
      </c>
      <c r="B6" s="2">
        <f>COUNTA('Error Register'!B2:B40)</f>
        <v>39</v>
      </c>
      <c r="C6" s="4"/>
      <c r="D6" s="2" t="s">
        <v>19</v>
      </c>
      <c r="E6" s="2">
        <f>COUNTIF('All Query Reviews'!$A$2:$A$350,D6)</f>
        <v>70</v>
      </c>
      <c r="F6" s="2">
        <f>COUNTIF('Error Register'!$A$2:$A$40,D6)</f>
        <v>4</v>
      </c>
      <c r="G6" s="2">
        <f>COUNTIF('Review Notes'!$A$2:$A$59,D6)</f>
        <v>5</v>
      </c>
      <c r="H6" s="2">
        <f>COUNTIFS('All Query Reviews'!$A$2:$A$350,D6,'All Query Reviews'!$AG$2:$AG$350,"Pass")</f>
        <v>60</v>
      </c>
      <c r="I6" s="2">
        <f>COUNTIFS('All Query Reviews'!$A$2:$A$350,D6,'All Query Reviews'!$AG$2:$AG$350,"Pass with note")</f>
        <v>5</v>
      </c>
      <c r="J6" s="2">
        <f>COUNTIFS('All Query Reviews'!$A$2:$A$350,D6,'All Query Reviews'!$AG$2:$AG$350,"Fail")</f>
        <v>4</v>
      </c>
      <c r="K6" s="2">
        <f>COUNTIFS('All Query Reviews'!$A$2:$A$350,D6,'All Query Reviews'!$AG$2:$AG$350,"Requires manual semantic review")</f>
        <v>1</v>
      </c>
      <c r="L6" s="2">
        <f>COUNTIFS('All Query Reviews'!$A$2:$A$350,D6,'All Query Reviews'!$AG$2:$AG$350,"Match")</f>
        <v>0</v>
      </c>
      <c r="M6" s="2">
        <f>COUNTIFS('All Query Reviews'!$A$2:$A$350,D6,'All Query Reviews'!$AG$2:$AG$350,"Mismatch")</f>
        <v>0</v>
      </c>
      <c r="N6" s="2">
        <f>COUNTIFS('All Query Reviews'!$A$2:$A$350,D6,'All Query Reviews'!$AG$2:$AG$350,"Valid refusal")</f>
        <v>0</v>
      </c>
      <c r="O6" s="2">
        <f>COUNTIFS('All Query Reviews'!$A$2:$A$350,D6,'All Query Reviews'!$AG$2:$AG$350,"Reference-only")</f>
        <v>0</v>
      </c>
    </row>
    <row r="7" spans="1:15" ht="28">
      <c r="A7" s="2" t="s">
        <v>20</v>
      </c>
      <c r="B7" s="2">
        <f>COUNTA('Review Notes'!B2:B59)</f>
        <v>58</v>
      </c>
      <c r="C7" s="4"/>
      <c r="D7" s="2" t="s">
        <v>21</v>
      </c>
      <c r="E7" s="2">
        <f>COUNTIF('All Query Reviews'!$A$2:$A$350,D7)</f>
        <v>70</v>
      </c>
      <c r="F7" s="2">
        <f>COUNTIF('Error Register'!$A$2:$A$40,D7)</f>
        <v>2</v>
      </c>
      <c r="G7" s="2">
        <f>COUNTIF('Review Notes'!$A$2:$A$59,D7)</f>
        <v>5</v>
      </c>
      <c r="H7" s="2">
        <f>COUNTIFS('All Query Reviews'!$A$2:$A$350,D7,'All Query Reviews'!$AG$2:$AG$350,"Pass")</f>
        <v>0</v>
      </c>
      <c r="I7" s="2">
        <f>COUNTIFS('All Query Reviews'!$A$2:$A$350,D7,'All Query Reviews'!$AG$2:$AG$350,"Pass with note")</f>
        <v>0</v>
      </c>
      <c r="J7" s="2">
        <f>COUNTIFS('All Query Reviews'!$A$2:$A$350,D7,'All Query Reviews'!$AG$2:$AG$350,"Fail")</f>
        <v>0</v>
      </c>
      <c r="K7" s="2">
        <f>COUNTIFS('All Query Reviews'!$A$2:$A$350,D7,'All Query Reviews'!$AG$2:$AG$350,"Requires manual semantic review")</f>
        <v>0</v>
      </c>
      <c r="L7" s="2">
        <f>COUNTIFS('All Query Reviews'!$A$2:$A$350,D7,'All Query Reviews'!$AG$2:$AG$350,"Match")</f>
        <v>17</v>
      </c>
      <c r="M7" s="2">
        <f>COUNTIFS('All Query Reviews'!$A$2:$A$350,D7,'All Query Reviews'!$AG$2:$AG$350,"Mismatch")</f>
        <v>2</v>
      </c>
      <c r="N7" s="2">
        <f>COUNTIFS('All Query Reviews'!$A$2:$A$350,D7,'All Query Reviews'!$AG$2:$AG$350,"Valid refusal")</f>
        <v>1</v>
      </c>
      <c r="O7" s="2">
        <f>COUNTIFS('All Query Reviews'!$A$2:$A$350,D7,'All Query Reviews'!$AG$2:$AG$350,"Reference-only")</f>
        <v>50</v>
      </c>
    </row>
    <row r="8" spans="1:15" ht="28">
      <c r="A8" s="2" t="s">
        <v>22</v>
      </c>
      <c r="B8" s="2">
        <f>COUNTIF('Error Register'!J2:J40,"Open")</f>
        <v>36</v>
      </c>
      <c r="C8" s="4"/>
      <c r="D8" s="2" t="s">
        <v>23</v>
      </c>
      <c r="E8" s="2">
        <f>COUNTIF('All Query Reviews'!$A$2:$A$350,D8)</f>
        <v>70</v>
      </c>
      <c r="F8" s="2">
        <f>COUNTIF('Error Register'!$A$2:$A$40,D8)</f>
        <v>3</v>
      </c>
      <c r="G8" s="2">
        <f>COUNTIF('Review Notes'!$A$2:$A$59,D8)</f>
        <v>2</v>
      </c>
      <c r="H8" s="2">
        <f>COUNTIFS('All Query Reviews'!$A$2:$A$350,D8,'All Query Reviews'!$AG$2:$AG$350,"Pass")</f>
        <v>67</v>
      </c>
      <c r="I8" s="2">
        <f>COUNTIFS('All Query Reviews'!$A$2:$A$350,D8,'All Query Reviews'!$AG$2:$AG$350,"Pass with note")</f>
        <v>0</v>
      </c>
      <c r="J8" s="2">
        <f>COUNTIFS('All Query Reviews'!$A$2:$A$350,D8,'All Query Reviews'!$AG$2:$AG$350,"Fail")</f>
        <v>3</v>
      </c>
      <c r="K8" s="2">
        <f>COUNTIFS('All Query Reviews'!$A$2:$A$350,D8,'All Query Reviews'!$AG$2:$AG$350,"Requires manual semantic review")</f>
        <v>0</v>
      </c>
      <c r="L8" s="2">
        <f>COUNTIFS('All Query Reviews'!$A$2:$A$350,D8,'All Query Reviews'!$AG$2:$AG$350,"Match")</f>
        <v>0</v>
      </c>
      <c r="M8" s="2">
        <f>COUNTIFS('All Query Reviews'!$A$2:$A$350,D8,'All Query Reviews'!$AG$2:$AG$350,"Mismatch")</f>
        <v>0</v>
      </c>
      <c r="N8" s="2">
        <f>COUNTIFS('All Query Reviews'!$A$2:$A$350,D8,'All Query Reviews'!$AG$2:$AG$350,"Valid refusal")</f>
        <v>0</v>
      </c>
      <c r="O8" s="2">
        <f>COUNTIFS('All Query Reviews'!$A$2:$A$350,D8,'All Query Reviews'!$AG$2:$AG$350,"Reference-only")</f>
        <v>0</v>
      </c>
    </row>
    <row r="9" spans="1:15">
      <c r="A9" s="2" t="s">
        <v>24</v>
      </c>
      <c r="B9" s="2">
        <v>5</v>
      </c>
      <c r="C9" s="4"/>
      <c r="D9" s="2" t="s">
        <v>25</v>
      </c>
      <c r="E9" s="2">
        <f>COUNTIF('All Query Reviews'!$A$2:$A$350,D9)</f>
        <v>70</v>
      </c>
      <c r="F9" s="2">
        <f>COUNTIF('Error Register'!$A$2:$A$40,D9)</f>
        <v>7</v>
      </c>
      <c r="G9" s="2">
        <f>COUNTIF('Review Notes'!$A$2:$A$59,D9)</f>
        <v>19</v>
      </c>
      <c r="H9" s="2">
        <f>COUNTIFS('All Query Reviews'!$A$2:$A$350,D9,'All Query Reviews'!$AG$2:$AG$350,"Pass")</f>
        <v>63</v>
      </c>
      <c r="I9" s="2">
        <f>COUNTIFS('All Query Reviews'!$A$2:$A$350,D9,'All Query Reviews'!$AG$2:$AG$350,"Pass with note")</f>
        <v>0</v>
      </c>
      <c r="J9" s="2">
        <f>COUNTIFS('All Query Reviews'!$A$2:$A$350,D9,'All Query Reviews'!$AG$2:$AG$350,"Fail")</f>
        <v>7</v>
      </c>
      <c r="K9" s="2">
        <f>COUNTIFS('All Query Reviews'!$A$2:$A$350,D9,'All Query Reviews'!$AG$2:$AG$350,"Requires manual semantic review")</f>
        <v>0</v>
      </c>
      <c r="L9" s="2">
        <f>COUNTIFS('All Query Reviews'!$A$2:$A$350,D9,'All Query Reviews'!$AG$2:$AG$350,"Match")</f>
        <v>0</v>
      </c>
      <c r="M9" s="2">
        <f>COUNTIFS('All Query Reviews'!$A$2:$A$350,D9,'All Query Reviews'!$AG$2:$AG$350,"Mismatch")</f>
        <v>0</v>
      </c>
      <c r="N9" s="2">
        <f>COUNTIFS('All Query Reviews'!$A$2:$A$350,D9,'All Query Reviews'!$AG$2:$AG$350,"Valid refusal")</f>
        <v>0</v>
      </c>
      <c r="O9" s="2">
        <f>COUNTIFS('All Query Reviews'!$A$2:$A$350,D9,'All Query Reviews'!$AG$2:$AG$350,"Reference-only")</f>
        <v>0</v>
      </c>
    </row>
    <row r="10" spans="1:15" ht="28">
      <c r="A10" s="2" t="s">
        <v>26</v>
      </c>
      <c r="B10" s="2">
        <v>5</v>
      </c>
      <c r="C10" s="4"/>
      <c r="D10" s="5" t="s">
        <v>27</v>
      </c>
      <c r="E10" s="5">
        <f t="shared" ref="E10:O10" si="0">SUM(E5:E9)</f>
        <v>349</v>
      </c>
      <c r="F10" s="5">
        <f t="shared" si="0"/>
        <v>39</v>
      </c>
      <c r="G10" s="5">
        <f t="shared" si="0"/>
        <v>58</v>
      </c>
      <c r="H10" s="5">
        <f t="shared" si="0"/>
        <v>209</v>
      </c>
      <c r="I10" s="5">
        <f t="shared" si="0"/>
        <v>32</v>
      </c>
      <c r="J10" s="5">
        <f t="shared" si="0"/>
        <v>37</v>
      </c>
      <c r="K10" s="5">
        <f t="shared" si="0"/>
        <v>1</v>
      </c>
      <c r="L10" s="5">
        <f t="shared" si="0"/>
        <v>17</v>
      </c>
      <c r="M10" s="5">
        <f t="shared" si="0"/>
        <v>2</v>
      </c>
      <c r="N10" s="5">
        <f t="shared" si="0"/>
        <v>1</v>
      </c>
      <c r="O10" s="5">
        <f t="shared" si="0"/>
        <v>50</v>
      </c>
    </row>
    <row r="11" spans="1:15">
      <c r="A11" s="4"/>
      <c r="B11" s="4"/>
      <c r="C11" s="4"/>
      <c r="D11" s="4"/>
      <c r="E11" s="4"/>
      <c r="F11" s="4"/>
      <c r="G11" s="4"/>
      <c r="H11" s="4"/>
      <c r="I11" s="4"/>
      <c r="J11" s="4"/>
      <c r="K11" s="4"/>
      <c r="L11" s="4"/>
      <c r="M11" s="4"/>
      <c r="N11" s="4"/>
      <c r="O11" s="4"/>
    </row>
    <row r="12" spans="1:15">
      <c r="A12" s="1" t="s">
        <v>4</v>
      </c>
      <c r="B12" s="1" t="s">
        <v>6</v>
      </c>
      <c r="C12" s="4"/>
      <c r="D12" s="4"/>
      <c r="E12" s="4"/>
      <c r="F12" s="4"/>
      <c r="G12" s="4"/>
      <c r="H12" s="4"/>
      <c r="I12" s="4"/>
      <c r="J12" s="6" t="s">
        <v>28</v>
      </c>
      <c r="K12" s="6"/>
      <c r="L12" s="6"/>
      <c r="M12" s="6"/>
      <c r="N12" s="6"/>
      <c r="O12" s="6"/>
    </row>
    <row r="13" spans="1:15">
      <c r="A13" s="2" t="s">
        <v>17</v>
      </c>
      <c r="B13" s="2">
        <f>F5</f>
        <v>23</v>
      </c>
      <c r="C13" s="4"/>
      <c r="D13" s="4"/>
      <c r="E13" s="4"/>
      <c r="F13" s="4"/>
      <c r="G13" s="4"/>
      <c r="H13" s="4"/>
      <c r="I13" s="4"/>
      <c r="J13" s="7" t="s">
        <v>29</v>
      </c>
      <c r="K13" s="7"/>
      <c r="L13" s="7"/>
      <c r="M13" s="7"/>
      <c r="N13" s="7"/>
      <c r="O13" s="7"/>
    </row>
    <row r="14" spans="1:15">
      <c r="A14" s="2" t="s">
        <v>19</v>
      </c>
      <c r="B14" s="2">
        <f>F6</f>
        <v>4</v>
      </c>
      <c r="C14" s="4"/>
      <c r="D14" s="4"/>
      <c r="E14" s="4"/>
      <c r="F14" s="4"/>
      <c r="G14" s="4"/>
      <c r="H14" s="4"/>
      <c r="I14" s="4"/>
      <c r="J14" s="7"/>
      <c r="K14" s="7"/>
      <c r="L14" s="7"/>
      <c r="M14" s="7"/>
      <c r="N14" s="7"/>
      <c r="O14" s="7"/>
    </row>
    <row r="15" spans="1:15">
      <c r="A15" s="2" t="s">
        <v>21</v>
      </c>
      <c r="B15" s="2">
        <f>F7</f>
        <v>2</v>
      </c>
      <c r="C15" s="4"/>
      <c r="D15" s="4"/>
      <c r="E15" s="4"/>
      <c r="F15" s="4"/>
      <c r="G15" s="4"/>
      <c r="H15" s="4"/>
      <c r="I15" s="4"/>
      <c r="J15" s="7"/>
      <c r="K15" s="7"/>
      <c r="L15" s="7"/>
      <c r="M15" s="7"/>
      <c r="N15" s="7"/>
      <c r="O15" s="7"/>
    </row>
    <row r="16" spans="1:15">
      <c r="A16" s="2" t="s">
        <v>23</v>
      </c>
      <c r="B16" s="2">
        <f>F8</f>
        <v>3</v>
      </c>
      <c r="C16" s="4"/>
      <c r="D16" s="4"/>
      <c r="E16" s="4"/>
      <c r="F16" s="4"/>
      <c r="G16" s="4"/>
      <c r="H16" s="4"/>
      <c r="I16" s="4"/>
      <c r="J16" s="7"/>
      <c r="K16" s="7"/>
      <c r="L16" s="7"/>
      <c r="M16" s="7"/>
      <c r="N16" s="7"/>
      <c r="O16" s="7"/>
    </row>
    <row r="17" spans="1:15">
      <c r="A17" s="2" t="s">
        <v>25</v>
      </c>
      <c r="B17" s="2">
        <f>F9</f>
        <v>7</v>
      </c>
      <c r="C17" s="4"/>
      <c r="D17" s="4"/>
      <c r="E17" s="4"/>
      <c r="F17" s="4"/>
      <c r="G17" s="4"/>
      <c r="H17" s="4"/>
      <c r="I17" s="4"/>
      <c r="J17" s="7"/>
      <c r="K17" s="7"/>
      <c r="L17" s="7"/>
      <c r="M17" s="7"/>
      <c r="N17" s="7"/>
      <c r="O17" s="7"/>
    </row>
    <row r="18" spans="1:15">
      <c r="A18" s="4"/>
      <c r="B18" s="4"/>
      <c r="C18" s="4"/>
      <c r="D18" s="4"/>
      <c r="E18" s="4"/>
      <c r="F18" s="4"/>
      <c r="G18" s="4"/>
      <c r="H18" s="4"/>
      <c r="I18" s="4"/>
      <c r="J18" s="7"/>
      <c r="K18" s="7"/>
      <c r="L18" s="7"/>
      <c r="M18" s="7"/>
      <c r="N18" s="7"/>
      <c r="O18" s="7"/>
    </row>
    <row r="19" spans="1:15">
      <c r="A19" s="4"/>
      <c r="B19" s="4"/>
      <c r="C19" s="4"/>
      <c r="D19" s="4"/>
      <c r="E19" s="4"/>
      <c r="F19" s="4"/>
      <c r="G19" s="4"/>
      <c r="H19" s="4"/>
      <c r="I19" s="4"/>
      <c r="J19" s="7"/>
      <c r="K19" s="7"/>
      <c r="L19" s="7"/>
      <c r="M19" s="7"/>
      <c r="N19" s="7"/>
      <c r="O19" s="7"/>
    </row>
    <row r="20" spans="1:15">
      <c r="A20" s="4"/>
      <c r="B20" s="4"/>
      <c r="C20" s="4"/>
      <c r="D20" s="4"/>
      <c r="E20" s="4"/>
      <c r="F20" s="4"/>
      <c r="G20" s="4"/>
      <c r="H20" s="4"/>
      <c r="I20" s="4"/>
      <c r="J20" s="7"/>
      <c r="K20" s="7"/>
      <c r="L20" s="7"/>
      <c r="M20" s="7"/>
      <c r="N20" s="7"/>
      <c r="O20" s="7"/>
    </row>
    <row r="21" spans="1:15">
      <c r="A21" s="4"/>
      <c r="B21" s="4"/>
      <c r="C21" s="4"/>
      <c r="D21" s="4"/>
      <c r="E21" s="4"/>
      <c r="F21" s="4"/>
      <c r="G21" s="4"/>
      <c r="H21" s="4"/>
      <c r="I21" s="4"/>
      <c r="J21" s="7"/>
      <c r="K21" s="7"/>
      <c r="L21" s="7"/>
      <c r="M21" s="7"/>
      <c r="N21" s="7"/>
      <c r="O21" s="7"/>
    </row>
  </sheetData>
  <mergeCells count="4">
    <mergeCell ref="J12:O12"/>
    <mergeCell ref="J13:O21"/>
    <mergeCell ref="A1:O1"/>
    <mergeCell ref="A2:O2"/>
  </mergeCells>
  <conditionalFormatting sqref="H5:H10">
    <cfRule type="dataBar" priority="1">
      <dataBar>
        <cfvo type="min"/>
        <cfvo type="max"/>
        <color rgb="FFA02B93"/>
      </dataBar>
    </cfRule>
    <cfRule type="dataBar" priority="4">
      <dataBar>
        <cfvo type="min"/>
        <cfvo type="max"/>
        <color rgb="FFA02B93"/>
      </dataBar>
      <extLst>
        <ext xmlns:x14="http://schemas.microsoft.com/office/spreadsheetml/2009/9/main" uri="{B025F937-C7B1-47D3-B67F-A62EFF666E3E}">
          <x14:id>{CE9F357E-FCC1-3751-A6B2-C6CA6A8C6E73}</x14:id>
        </ext>
      </extLst>
    </cfRule>
  </conditionalFormatting>
  <conditionalFormatting sqref="J5:J10">
    <cfRule type="dataBar" priority="2">
      <dataBar>
        <cfvo type="min"/>
        <cfvo type="max"/>
        <color rgb="FFE97132"/>
      </dataBar>
    </cfRule>
    <cfRule type="dataBar" priority="5">
      <dataBar>
        <cfvo type="min"/>
        <cfvo type="max"/>
        <color rgb="FFE97132"/>
      </dataBar>
      <extLst>
        <ext xmlns:x14="http://schemas.microsoft.com/office/spreadsheetml/2009/9/main" uri="{B025F937-C7B1-47D3-B67F-A62EFF666E3E}">
          <x14:id>{43444267-0600-E4EF-A5D5-5268DDCE6D86}</x14:id>
        </ext>
      </extLst>
    </cfRule>
  </conditionalFormatting>
  <conditionalFormatting sqref="M5:M10">
    <cfRule type="dataBar" priority="3">
      <dataBar>
        <cfvo type="min"/>
        <cfvo type="max"/>
        <color rgb="FFE97132"/>
      </dataBar>
    </cfRule>
    <cfRule type="dataBar" priority="6">
      <dataBar>
        <cfvo type="min"/>
        <cfvo type="max"/>
        <color rgb="FFE97132"/>
      </dataBar>
      <extLst>
        <ext xmlns:x14="http://schemas.microsoft.com/office/spreadsheetml/2009/9/main" uri="{B025F937-C7B1-47D3-B67F-A62EFF666E3E}">
          <x14:id>{E8F644C3-5452-E40F-6920-1555DA33A79F}</x14:id>
        </ext>
      </extLst>
    </cfRule>
  </conditionalFormatting>
  <pageMargins left="0.7" right="0.7" top="0.75" bottom="0.75" header="0.3" footer="0.3"/>
  <drawing r:id="rId1"/>
  <extLst>
    <ext xmlns:x14="http://schemas.microsoft.com/office/spreadsheetml/2009/9/main" uri="{78C0D931-6437-407d-A8EE-F0AAD7539E65}">
      <x14:conditionalFormattings>
        <x14:conditionalFormatting xmlns:xm="http://schemas.microsoft.com/office/excel/2006/main">
          <x14:cfRule type="dataBar" id="{CE9F357E-FCC1-3751-A6B2-C6CA6A8C6E73}">
            <x14:dataBar>
              <x14:cfvo type="min"/>
              <x14:cfvo type="max"/>
              <x14:negativeFillColor auto="1"/>
              <x14:axisColor auto="1"/>
            </x14:dataBar>
          </x14:cfRule>
          <xm:sqref>H5:H10</xm:sqref>
        </x14:conditionalFormatting>
        <x14:conditionalFormatting xmlns:xm="http://schemas.microsoft.com/office/excel/2006/main">
          <x14:cfRule type="dataBar" id="{43444267-0600-E4EF-A5D5-5268DDCE6D86}">
            <x14:dataBar>
              <x14:cfvo type="min"/>
              <x14:cfvo type="max"/>
              <x14:negativeFillColor auto="1"/>
              <x14:axisColor auto="1"/>
            </x14:dataBar>
          </x14:cfRule>
          <xm:sqref>J5:J10</xm:sqref>
        </x14:conditionalFormatting>
        <x14:conditionalFormatting xmlns:xm="http://schemas.microsoft.com/office/excel/2006/main">
          <x14:cfRule type="dataBar" id="{E8F644C3-5452-E40F-6920-1555DA33A79F}">
            <x14:dataBar>
              <x14:cfvo type="min"/>
              <x14:cfvo type="max"/>
              <x14:negativeFillColor auto="1"/>
              <x14:axisColor auto="1"/>
            </x14:dataBar>
          </x14:cfRule>
          <xm:sqref>M5:M10</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L40"/>
  <sheetViews>
    <sheetView zoomScaleNormal="100" zoomScaleSheetLayoutView="100" workbookViewId="0"/>
  </sheetViews>
  <sheetFormatPr defaultRowHeight="14"/>
  <cols>
    <col min="1" max="3" width="12" customWidth="1"/>
    <col min="4" max="4" width="13" customWidth="1"/>
    <col min="5" max="5" width="36" customWidth="1"/>
    <col min="6" max="6" width="40" customWidth="1"/>
    <col min="7" max="7" width="55" customWidth="1"/>
    <col min="8" max="8" width="50" customWidth="1"/>
    <col min="9" max="9" width="42" customWidth="1"/>
    <col min="10" max="10" width="13" customWidth="1"/>
    <col min="11" max="11" width="10" customWidth="1"/>
    <col min="12" max="12" width="34" customWidth="1"/>
  </cols>
  <sheetData>
    <row r="1" spans="1:12" ht="30" customHeight="1">
      <c r="A1" s="1" t="s">
        <v>4</v>
      </c>
      <c r="B1" s="1" t="s">
        <v>30</v>
      </c>
      <c r="C1" s="1" t="s">
        <v>31</v>
      </c>
      <c r="D1" s="1" t="s">
        <v>32</v>
      </c>
      <c r="E1" s="1" t="s">
        <v>33</v>
      </c>
      <c r="F1" s="1" t="s">
        <v>34</v>
      </c>
      <c r="G1" s="1" t="s">
        <v>35</v>
      </c>
      <c r="H1" s="1" t="s">
        <v>36</v>
      </c>
      <c r="I1" s="1" t="s">
        <v>37</v>
      </c>
      <c r="J1" s="1" t="s">
        <v>38</v>
      </c>
      <c r="K1" s="1" t="s">
        <v>39</v>
      </c>
      <c r="L1" s="1" t="s">
        <v>40</v>
      </c>
    </row>
    <row r="2" spans="1:12" ht="154">
      <c r="A2" s="2" t="s">
        <v>17</v>
      </c>
      <c r="B2" s="2" t="s">
        <v>41</v>
      </c>
      <c r="C2" s="2"/>
      <c r="D2" s="2" t="s">
        <v>42</v>
      </c>
      <c r="E2" s="2" t="s">
        <v>43</v>
      </c>
      <c r="F2" s="2" t="s">
        <v>44</v>
      </c>
      <c r="G2" s="2" t="s">
        <v>45</v>
      </c>
      <c r="H2" s="2" t="s">
        <v>46</v>
      </c>
      <c r="I2" s="2" t="s">
        <v>47</v>
      </c>
      <c r="J2" s="2" t="s">
        <v>48</v>
      </c>
      <c r="K2" s="2"/>
      <c r="L2" s="2" t="s">
        <v>49</v>
      </c>
    </row>
    <row r="3" spans="1:12" ht="168">
      <c r="A3" s="2" t="s">
        <v>17</v>
      </c>
      <c r="B3" s="2" t="s">
        <v>50</v>
      </c>
      <c r="C3" s="2"/>
      <c r="D3" s="2" t="s">
        <v>51</v>
      </c>
      <c r="E3" s="2" t="s">
        <v>52</v>
      </c>
      <c r="F3" s="2" t="s">
        <v>53</v>
      </c>
      <c r="G3" s="2" t="s">
        <v>54</v>
      </c>
      <c r="H3" s="2" t="s">
        <v>55</v>
      </c>
      <c r="I3" s="2" t="s">
        <v>56</v>
      </c>
      <c r="J3" s="2" t="s">
        <v>48</v>
      </c>
      <c r="K3" s="2"/>
      <c r="L3" s="2" t="s">
        <v>49</v>
      </c>
    </row>
    <row r="4" spans="1:12" ht="112">
      <c r="A4" s="2" t="s">
        <v>17</v>
      </c>
      <c r="B4" s="2" t="s">
        <v>57</v>
      </c>
      <c r="C4" s="2"/>
      <c r="D4" s="2" t="s">
        <v>51</v>
      </c>
      <c r="E4" s="2" t="s">
        <v>58</v>
      </c>
      <c r="F4" s="2" t="s">
        <v>59</v>
      </c>
      <c r="G4" s="2" t="s">
        <v>60</v>
      </c>
      <c r="H4" s="2" t="s">
        <v>61</v>
      </c>
      <c r="I4" s="2" t="s">
        <v>62</v>
      </c>
      <c r="J4" s="2" t="s">
        <v>48</v>
      </c>
      <c r="K4" s="2"/>
      <c r="L4" s="2" t="s">
        <v>49</v>
      </c>
    </row>
    <row r="5" spans="1:12" ht="168">
      <c r="A5" s="2" t="s">
        <v>17</v>
      </c>
      <c r="B5" s="2" t="s">
        <v>63</v>
      </c>
      <c r="C5" s="2"/>
      <c r="D5" s="2" t="s">
        <v>51</v>
      </c>
      <c r="E5" s="2" t="s">
        <v>64</v>
      </c>
      <c r="F5" s="2" t="s">
        <v>65</v>
      </c>
      <c r="G5" s="2" t="s">
        <v>66</v>
      </c>
      <c r="H5" s="2" t="s">
        <v>67</v>
      </c>
      <c r="I5" s="2" t="s">
        <v>68</v>
      </c>
      <c r="J5" s="2" t="s">
        <v>48</v>
      </c>
      <c r="K5" s="2"/>
      <c r="L5" s="2" t="s">
        <v>49</v>
      </c>
    </row>
    <row r="6" spans="1:12" ht="182">
      <c r="A6" s="2" t="s">
        <v>17</v>
      </c>
      <c r="B6" s="2" t="s">
        <v>69</v>
      </c>
      <c r="C6" s="2"/>
      <c r="D6" s="2" t="s">
        <v>51</v>
      </c>
      <c r="E6" s="2" t="s">
        <v>70</v>
      </c>
      <c r="F6" s="2" t="s">
        <v>71</v>
      </c>
      <c r="G6" s="2" t="s">
        <v>72</v>
      </c>
      <c r="H6" s="2" t="s">
        <v>73</v>
      </c>
      <c r="I6" s="2" t="s">
        <v>74</v>
      </c>
      <c r="J6" s="2" t="s">
        <v>48</v>
      </c>
      <c r="K6" s="2"/>
      <c r="L6" s="2" t="s">
        <v>49</v>
      </c>
    </row>
    <row r="7" spans="1:12" ht="168">
      <c r="A7" s="2" t="s">
        <v>17</v>
      </c>
      <c r="B7" s="2" t="s">
        <v>75</v>
      </c>
      <c r="C7" s="2"/>
      <c r="D7" s="2" t="s">
        <v>42</v>
      </c>
      <c r="E7" s="2" t="s">
        <v>76</v>
      </c>
      <c r="F7" s="2" t="s">
        <v>77</v>
      </c>
      <c r="G7" s="2" t="s">
        <v>78</v>
      </c>
      <c r="H7" s="2" t="s">
        <v>79</v>
      </c>
      <c r="I7" s="2" t="s">
        <v>80</v>
      </c>
      <c r="J7" s="2" t="s">
        <v>48</v>
      </c>
      <c r="K7" s="2"/>
      <c r="L7" s="2" t="s">
        <v>49</v>
      </c>
    </row>
    <row r="8" spans="1:12" ht="112">
      <c r="A8" s="2" t="s">
        <v>17</v>
      </c>
      <c r="B8" s="2" t="s">
        <v>81</v>
      </c>
      <c r="C8" s="2"/>
      <c r="D8" s="2" t="s">
        <v>51</v>
      </c>
      <c r="E8" s="2" t="s">
        <v>82</v>
      </c>
      <c r="F8" s="2" t="s">
        <v>83</v>
      </c>
      <c r="G8" s="2" t="s">
        <v>84</v>
      </c>
      <c r="H8" s="2" t="s">
        <v>85</v>
      </c>
      <c r="I8" s="2" t="s">
        <v>86</v>
      </c>
      <c r="J8" s="2" t="s">
        <v>48</v>
      </c>
      <c r="K8" s="2"/>
      <c r="L8" s="2" t="s">
        <v>49</v>
      </c>
    </row>
    <row r="9" spans="1:12" ht="112">
      <c r="A9" s="2" t="s">
        <v>17</v>
      </c>
      <c r="B9" s="2" t="s">
        <v>87</v>
      </c>
      <c r="C9" s="2"/>
      <c r="D9" s="2" t="s">
        <v>51</v>
      </c>
      <c r="E9" s="2" t="s">
        <v>88</v>
      </c>
      <c r="F9" s="2" t="s">
        <v>89</v>
      </c>
      <c r="G9" s="2" t="s">
        <v>90</v>
      </c>
      <c r="H9" s="2" t="s">
        <v>91</v>
      </c>
      <c r="I9" s="2" t="s">
        <v>92</v>
      </c>
      <c r="J9" s="2" t="s">
        <v>48</v>
      </c>
      <c r="K9" s="2"/>
      <c r="L9" s="2" t="s">
        <v>49</v>
      </c>
    </row>
    <row r="10" spans="1:12" ht="112">
      <c r="A10" s="2" t="s">
        <v>17</v>
      </c>
      <c r="B10" s="2" t="s">
        <v>93</v>
      </c>
      <c r="C10" s="2"/>
      <c r="D10" s="2" t="s">
        <v>51</v>
      </c>
      <c r="E10" s="2" t="s">
        <v>94</v>
      </c>
      <c r="F10" s="2" t="s">
        <v>95</v>
      </c>
      <c r="G10" s="2" t="s">
        <v>96</v>
      </c>
      <c r="H10" s="2" t="s">
        <v>97</v>
      </c>
      <c r="I10" s="2" t="s">
        <v>98</v>
      </c>
      <c r="J10" s="2" t="s">
        <v>48</v>
      </c>
      <c r="K10" s="2"/>
      <c r="L10" s="2" t="s">
        <v>49</v>
      </c>
    </row>
    <row r="11" spans="1:12" ht="112">
      <c r="A11" s="2" t="s">
        <v>17</v>
      </c>
      <c r="B11" s="2" t="s">
        <v>99</v>
      </c>
      <c r="C11" s="2"/>
      <c r="D11" s="2" t="s">
        <v>51</v>
      </c>
      <c r="E11" s="2" t="s">
        <v>100</v>
      </c>
      <c r="F11" s="2" t="s">
        <v>101</v>
      </c>
      <c r="G11" s="2" t="s">
        <v>102</v>
      </c>
      <c r="H11" s="2" t="s">
        <v>103</v>
      </c>
      <c r="I11" s="2" t="s">
        <v>104</v>
      </c>
      <c r="J11" s="2" t="s">
        <v>48</v>
      </c>
      <c r="K11" s="2"/>
      <c r="L11" s="2" t="s">
        <v>49</v>
      </c>
    </row>
    <row r="12" spans="1:12" ht="126">
      <c r="A12" s="2" t="s">
        <v>17</v>
      </c>
      <c r="B12" s="2" t="s">
        <v>105</v>
      </c>
      <c r="C12" s="2"/>
      <c r="D12" s="2" t="s">
        <v>42</v>
      </c>
      <c r="E12" s="2" t="s">
        <v>106</v>
      </c>
      <c r="F12" s="2" t="s">
        <v>107</v>
      </c>
      <c r="G12" s="2" t="s">
        <v>108</v>
      </c>
      <c r="H12" s="2" t="s">
        <v>109</v>
      </c>
      <c r="I12" s="2" t="s">
        <v>110</v>
      </c>
      <c r="J12" s="2" t="s">
        <v>48</v>
      </c>
      <c r="K12" s="2"/>
      <c r="L12" s="2" t="s">
        <v>49</v>
      </c>
    </row>
    <row r="13" spans="1:12" ht="126">
      <c r="A13" s="2" t="s">
        <v>17</v>
      </c>
      <c r="B13" s="2" t="s">
        <v>111</v>
      </c>
      <c r="C13" s="2"/>
      <c r="D13" s="2" t="s">
        <v>42</v>
      </c>
      <c r="E13" s="2" t="s">
        <v>112</v>
      </c>
      <c r="F13" s="2" t="s">
        <v>113</v>
      </c>
      <c r="G13" s="2" t="s">
        <v>114</v>
      </c>
      <c r="H13" s="2" t="s">
        <v>115</v>
      </c>
      <c r="I13" s="2" t="s">
        <v>116</v>
      </c>
      <c r="J13" s="2" t="s">
        <v>48</v>
      </c>
      <c r="K13" s="2"/>
      <c r="L13" s="2" t="s">
        <v>49</v>
      </c>
    </row>
    <row r="14" spans="1:12" ht="140">
      <c r="A14" s="2" t="s">
        <v>17</v>
      </c>
      <c r="B14" s="2" t="s">
        <v>117</v>
      </c>
      <c r="C14" s="2"/>
      <c r="D14" s="2" t="s">
        <v>118</v>
      </c>
      <c r="E14" s="2" t="s">
        <v>119</v>
      </c>
      <c r="F14" s="2" t="s">
        <v>120</v>
      </c>
      <c r="G14" s="2" t="s">
        <v>121</v>
      </c>
      <c r="H14" s="2" t="s">
        <v>122</v>
      </c>
      <c r="I14" s="2" t="s">
        <v>123</v>
      </c>
      <c r="J14" s="2" t="s">
        <v>48</v>
      </c>
      <c r="K14" s="2"/>
      <c r="L14" s="2" t="s">
        <v>49</v>
      </c>
    </row>
    <row r="15" spans="1:12" ht="112">
      <c r="A15" s="2" t="s">
        <v>17</v>
      </c>
      <c r="B15" s="2" t="s">
        <v>124</v>
      </c>
      <c r="C15" s="2"/>
      <c r="D15" s="2" t="s">
        <v>42</v>
      </c>
      <c r="E15" s="2" t="s">
        <v>125</v>
      </c>
      <c r="F15" s="2" t="s">
        <v>126</v>
      </c>
      <c r="G15" s="2" t="s">
        <v>127</v>
      </c>
      <c r="H15" s="2" t="s">
        <v>128</v>
      </c>
      <c r="I15" s="2" t="s">
        <v>129</v>
      </c>
      <c r="J15" s="2" t="s">
        <v>48</v>
      </c>
      <c r="K15" s="2"/>
      <c r="L15" s="2" t="s">
        <v>49</v>
      </c>
    </row>
    <row r="16" spans="1:12" ht="98">
      <c r="A16" s="2" t="s">
        <v>17</v>
      </c>
      <c r="B16" s="2" t="s">
        <v>130</v>
      </c>
      <c r="C16" s="2"/>
      <c r="D16" s="2" t="s">
        <v>51</v>
      </c>
      <c r="E16" s="2" t="s">
        <v>131</v>
      </c>
      <c r="F16" s="2" t="s">
        <v>132</v>
      </c>
      <c r="G16" s="2" t="s">
        <v>133</v>
      </c>
      <c r="H16" s="2" t="s">
        <v>134</v>
      </c>
      <c r="I16" s="2" t="s">
        <v>135</v>
      </c>
      <c r="J16" s="2" t="s">
        <v>48</v>
      </c>
      <c r="K16" s="2"/>
      <c r="L16" s="2" t="s">
        <v>49</v>
      </c>
    </row>
    <row r="17" spans="1:12" ht="112">
      <c r="A17" s="2" t="s">
        <v>17</v>
      </c>
      <c r="B17" s="2" t="s">
        <v>136</v>
      </c>
      <c r="C17" s="2"/>
      <c r="D17" s="2" t="s">
        <v>118</v>
      </c>
      <c r="E17" s="2" t="s">
        <v>137</v>
      </c>
      <c r="F17" s="2" t="s">
        <v>138</v>
      </c>
      <c r="G17" s="2" t="s">
        <v>139</v>
      </c>
      <c r="H17" s="2" t="s">
        <v>140</v>
      </c>
      <c r="I17" s="2" t="s">
        <v>141</v>
      </c>
      <c r="J17" s="2" t="s">
        <v>48</v>
      </c>
      <c r="K17" s="2"/>
      <c r="L17" s="2" t="s">
        <v>49</v>
      </c>
    </row>
    <row r="18" spans="1:12" ht="126">
      <c r="A18" s="2" t="s">
        <v>17</v>
      </c>
      <c r="B18" s="2" t="s">
        <v>142</v>
      </c>
      <c r="C18" s="2"/>
      <c r="D18" s="2" t="s">
        <v>42</v>
      </c>
      <c r="E18" s="2" t="s">
        <v>143</v>
      </c>
      <c r="F18" s="2" t="s">
        <v>144</v>
      </c>
      <c r="G18" s="2" t="s">
        <v>145</v>
      </c>
      <c r="H18" s="2" t="s">
        <v>146</v>
      </c>
      <c r="I18" s="2" t="s">
        <v>147</v>
      </c>
      <c r="J18" s="2" t="s">
        <v>48</v>
      </c>
      <c r="K18" s="2"/>
      <c r="L18" s="2" t="s">
        <v>49</v>
      </c>
    </row>
    <row r="19" spans="1:12" ht="98">
      <c r="A19" s="2" t="s">
        <v>17</v>
      </c>
      <c r="B19" s="2" t="s">
        <v>148</v>
      </c>
      <c r="C19" s="2"/>
      <c r="D19" s="2" t="s">
        <v>42</v>
      </c>
      <c r="E19" s="2" t="s">
        <v>149</v>
      </c>
      <c r="F19" s="2" t="s">
        <v>150</v>
      </c>
      <c r="G19" s="2" t="s">
        <v>151</v>
      </c>
      <c r="H19" s="2" t="s">
        <v>152</v>
      </c>
      <c r="I19" s="2" t="s">
        <v>153</v>
      </c>
      <c r="J19" s="2" t="s">
        <v>48</v>
      </c>
      <c r="K19" s="2"/>
      <c r="L19" s="2" t="s">
        <v>49</v>
      </c>
    </row>
    <row r="20" spans="1:12" ht="112">
      <c r="A20" s="2" t="s">
        <v>17</v>
      </c>
      <c r="B20" s="2" t="s">
        <v>154</v>
      </c>
      <c r="C20" s="2"/>
      <c r="D20" s="2" t="s">
        <v>42</v>
      </c>
      <c r="E20" s="2" t="s">
        <v>155</v>
      </c>
      <c r="F20" s="2" t="s">
        <v>156</v>
      </c>
      <c r="G20" s="2" t="s">
        <v>157</v>
      </c>
      <c r="H20" s="2" t="s">
        <v>158</v>
      </c>
      <c r="I20" s="2" t="s">
        <v>159</v>
      </c>
      <c r="J20" s="2" t="s">
        <v>48</v>
      </c>
      <c r="K20" s="2"/>
      <c r="L20" s="2" t="s">
        <v>49</v>
      </c>
    </row>
    <row r="21" spans="1:12" ht="112">
      <c r="A21" s="2" t="s">
        <v>17</v>
      </c>
      <c r="B21" s="2" t="s">
        <v>160</v>
      </c>
      <c r="C21" s="2"/>
      <c r="D21" s="2" t="s">
        <v>51</v>
      </c>
      <c r="E21" s="2" t="s">
        <v>161</v>
      </c>
      <c r="F21" s="2" t="s">
        <v>162</v>
      </c>
      <c r="G21" s="2" t="s">
        <v>163</v>
      </c>
      <c r="H21" s="2" t="s">
        <v>164</v>
      </c>
      <c r="I21" s="2" t="s">
        <v>165</v>
      </c>
      <c r="J21" s="2" t="s">
        <v>48</v>
      </c>
      <c r="K21" s="2"/>
      <c r="L21" s="2" t="s">
        <v>49</v>
      </c>
    </row>
    <row r="22" spans="1:12" ht="126">
      <c r="A22" s="2" t="s">
        <v>17</v>
      </c>
      <c r="B22" s="2" t="s">
        <v>166</v>
      </c>
      <c r="C22" s="2"/>
      <c r="D22" s="2" t="s">
        <v>51</v>
      </c>
      <c r="E22" s="2" t="s">
        <v>167</v>
      </c>
      <c r="F22" s="2" t="s">
        <v>168</v>
      </c>
      <c r="G22" s="2" t="s">
        <v>169</v>
      </c>
      <c r="H22" s="2" t="s">
        <v>170</v>
      </c>
      <c r="I22" s="2" t="s">
        <v>171</v>
      </c>
      <c r="J22" s="2" t="s">
        <v>48</v>
      </c>
      <c r="K22" s="2"/>
      <c r="L22" s="2" t="s">
        <v>49</v>
      </c>
    </row>
    <row r="23" spans="1:12" ht="112">
      <c r="A23" s="2" t="s">
        <v>17</v>
      </c>
      <c r="B23" s="2" t="s">
        <v>172</v>
      </c>
      <c r="C23" s="2"/>
      <c r="D23" s="2" t="s">
        <v>42</v>
      </c>
      <c r="E23" s="2" t="s">
        <v>173</v>
      </c>
      <c r="F23" s="2" t="s">
        <v>174</v>
      </c>
      <c r="G23" s="2" t="s">
        <v>175</v>
      </c>
      <c r="H23" s="2" t="s">
        <v>176</v>
      </c>
      <c r="I23" s="2" t="s">
        <v>177</v>
      </c>
      <c r="J23" s="2" t="s">
        <v>48</v>
      </c>
      <c r="K23" s="2"/>
      <c r="L23" s="2" t="s">
        <v>49</v>
      </c>
    </row>
    <row r="24" spans="1:12" ht="112">
      <c r="A24" s="2" t="s">
        <v>17</v>
      </c>
      <c r="B24" s="2" t="s">
        <v>178</v>
      </c>
      <c r="C24" s="2"/>
      <c r="D24" s="2" t="s">
        <v>51</v>
      </c>
      <c r="E24" s="2" t="s">
        <v>179</v>
      </c>
      <c r="F24" s="2" t="s">
        <v>180</v>
      </c>
      <c r="G24" s="2" t="s">
        <v>181</v>
      </c>
      <c r="H24" s="2" t="s">
        <v>182</v>
      </c>
      <c r="I24" s="2" t="s">
        <v>183</v>
      </c>
      <c r="J24" s="2" t="s">
        <v>48</v>
      </c>
      <c r="K24" s="2"/>
      <c r="L24" s="2" t="s">
        <v>49</v>
      </c>
    </row>
    <row r="25" spans="1:12" ht="112">
      <c r="A25" s="2" t="s">
        <v>19</v>
      </c>
      <c r="B25" s="2" t="s">
        <v>184</v>
      </c>
      <c r="C25" s="2"/>
      <c r="D25" s="2" t="s">
        <v>185</v>
      </c>
      <c r="E25" s="2" t="s">
        <v>186</v>
      </c>
      <c r="F25" s="2" t="s">
        <v>187</v>
      </c>
      <c r="G25" s="2" t="s">
        <v>188</v>
      </c>
      <c r="H25" s="2" t="s">
        <v>189</v>
      </c>
      <c r="I25" s="2" t="s">
        <v>190</v>
      </c>
      <c r="J25" s="2" t="s">
        <v>48</v>
      </c>
      <c r="K25" s="2"/>
      <c r="L25" s="2" t="s">
        <v>191</v>
      </c>
    </row>
    <row r="26" spans="1:12" ht="98">
      <c r="A26" s="2" t="s">
        <v>19</v>
      </c>
      <c r="B26" s="2" t="s">
        <v>192</v>
      </c>
      <c r="C26" s="2"/>
      <c r="D26" s="2" t="s">
        <v>193</v>
      </c>
      <c r="E26" s="2" t="s">
        <v>194</v>
      </c>
      <c r="F26" s="2" t="s">
        <v>195</v>
      </c>
      <c r="G26" s="2" t="s">
        <v>196</v>
      </c>
      <c r="H26" s="2" t="s">
        <v>197</v>
      </c>
      <c r="I26" s="2" t="s">
        <v>198</v>
      </c>
      <c r="J26" s="2" t="s">
        <v>48</v>
      </c>
      <c r="K26" s="2"/>
      <c r="L26" s="2" t="s">
        <v>191</v>
      </c>
    </row>
    <row r="27" spans="1:12" ht="126">
      <c r="A27" s="2" t="s">
        <v>19</v>
      </c>
      <c r="B27" s="2" t="s">
        <v>199</v>
      </c>
      <c r="C27" s="2"/>
      <c r="D27" s="2" t="s">
        <v>200</v>
      </c>
      <c r="E27" s="2" t="s">
        <v>201</v>
      </c>
      <c r="F27" s="2" t="s">
        <v>202</v>
      </c>
      <c r="G27" s="2" t="s">
        <v>203</v>
      </c>
      <c r="H27" s="2" t="s">
        <v>204</v>
      </c>
      <c r="I27" s="2" t="s">
        <v>205</v>
      </c>
      <c r="J27" s="2" t="s">
        <v>48</v>
      </c>
      <c r="K27" s="2"/>
      <c r="L27" s="2" t="s">
        <v>191</v>
      </c>
    </row>
    <row r="28" spans="1:12" ht="196">
      <c r="A28" s="2" t="s">
        <v>19</v>
      </c>
      <c r="B28" s="2" t="s">
        <v>206</v>
      </c>
      <c r="C28" s="2"/>
      <c r="D28" s="2" t="s">
        <v>185</v>
      </c>
      <c r="E28" s="2" t="s">
        <v>207</v>
      </c>
      <c r="F28" s="2" t="s">
        <v>208</v>
      </c>
      <c r="G28" s="2" t="s">
        <v>209</v>
      </c>
      <c r="H28" s="2" t="s">
        <v>210</v>
      </c>
      <c r="I28" s="2" t="s">
        <v>211</v>
      </c>
      <c r="J28" s="2" t="s">
        <v>48</v>
      </c>
      <c r="K28" s="2"/>
      <c r="L28" s="2" t="s">
        <v>191</v>
      </c>
    </row>
    <row r="29" spans="1:12" ht="42">
      <c r="A29" s="2" t="s">
        <v>21</v>
      </c>
      <c r="B29" s="2" t="s">
        <v>212</v>
      </c>
      <c r="C29" s="2" t="s">
        <v>213</v>
      </c>
      <c r="D29" s="2" t="s">
        <v>200</v>
      </c>
      <c r="E29" s="2" t="s">
        <v>214</v>
      </c>
      <c r="F29" s="2"/>
      <c r="G29" s="2" t="s">
        <v>215</v>
      </c>
      <c r="H29" s="2" t="s">
        <v>216</v>
      </c>
      <c r="I29" s="2"/>
      <c r="J29" s="2" t="s">
        <v>48</v>
      </c>
      <c r="K29" s="2" t="s">
        <v>217</v>
      </c>
      <c r="L29" s="2" t="s">
        <v>218</v>
      </c>
    </row>
    <row r="30" spans="1:12" ht="42">
      <c r="A30" s="2" t="s">
        <v>21</v>
      </c>
      <c r="B30" s="2" t="s">
        <v>219</v>
      </c>
      <c r="C30" s="2" t="s">
        <v>220</v>
      </c>
      <c r="D30" s="2" t="s">
        <v>200</v>
      </c>
      <c r="E30" s="2" t="s">
        <v>221</v>
      </c>
      <c r="F30" s="2"/>
      <c r="G30" s="2" t="s">
        <v>222</v>
      </c>
      <c r="H30" s="2" t="s">
        <v>223</v>
      </c>
      <c r="I30" s="2"/>
      <c r="J30" s="2" t="s">
        <v>48</v>
      </c>
      <c r="K30" s="2" t="s">
        <v>217</v>
      </c>
      <c r="L30" s="2" t="s">
        <v>218</v>
      </c>
    </row>
    <row r="31" spans="1:12" ht="56">
      <c r="A31" s="2" t="s">
        <v>23</v>
      </c>
      <c r="B31" s="2" t="s">
        <v>224</v>
      </c>
      <c r="C31" s="2"/>
      <c r="D31" s="2" t="s">
        <v>193</v>
      </c>
      <c r="E31" s="2" t="s">
        <v>225</v>
      </c>
      <c r="F31" s="2" t="s">
        <v>226</v>
      </c>
      <c r="G31" s="2" t="s">
        <v>227</v>
      </c>
      <c r="H31" s="2" t="s">
        <v>228</v>
      </c>
      <c r="I31" s="2" t="s">
        <v>229</v>
      </c>
      <c r="J31" s="2" t="s">
        <v>230</v>
      </c>
      <c r="K31" s="2"/>
      <c r="L31" s="2" t="s">
        <v>231</v>
      </c>
    </row>
    <row r="32" spans="1:12" ht="84">
      <c r="A32" s="2" t="s">
        <v>23</v>
      </c>
      <c r="B32" s="2" t="s">
        <v>232</v>
      </c>
      <c r="C32" s="2"/>
      <c r="D32" s="2" t="s">
        <v>233</v>
      </c>
      <c r="E32" s="2" t="s">
        <v>234</v>
      </c>
      <c r="F32" s="2" t="s">
        <v>235</v>
      </c>
      <c r="G32" s="2" t="s">
        <v>236</v>
      </c>
      <c r="H32" s="2" t="s">
        <v>237</v>
      </c>
      <c r="I32" s="2" t="s">
        <v>238</v>
      </c>
      <c r="J32" s="2" t="s">
        <v>230</v>
      </c>
      <c r="K32" s="2"/>
      <c r="L32" s="2" t="s">
        <v>231</v>
      </c>
    </row>
    <row r="33" spans="1:12" ht="56">
      <c r="A33" s="2" t="s">
        <v>23</v>
      </c>
      <c r="B33" s="2" t="s">
        <v>239</v>
      </c>
      <c r="C33" s="2"/>
      <c r="D33" s="2" t="s">
        <v>193</v>
      </c>
      <c r="E33" s="2" t="s">
        <v>240</v>
      </c>
      <c r="F33" s="2" t="s">
        <v>241</v>
      </c>
      <c r="G33" s="2" t="s">
        <v>242</v>
      </c>
      <c r="H33" s="2" t="s">
        <v>243</v>
      </c>
      <c r="I33" s="2" t="s">
        <v>244</v>
      </c>
      <c r="J33" s="2" t="s">
        <v>230</v>
      </c>
      <c r="K33" s="2"/>
      <c r="L33" s="2" t="s">
        <v>231</v>
      </c>
    </row>
    <row r="34" spans="1:12" ht="98">
      <c r="A34" s="2" t="s">
        <v>25</v>
      </c>
      <c r="B34" s="2" t="s">
        <v>245</v>
      </c>
      <c r="C34" s="2"/>
      <c r="D34" s="2" t="s">
        <v>51</v>
      </c>
      <c r="E34" s="2" t="s">
        <v>246</v>
      </c>
      <c r="F34" s="2" t="s">
        <v>247</v>
      </c>
      <c r="G34" s="2" t="s">
        <v>248</v>
      </c>
      <c r="H34" s="2" t="s">
        <v>249</v>
      </c>
      <c r="I34" s="2" t="s">
        <v>250</v>
      </c>
      <c r="J34" s="2" t="s">
        <v>48</v>
      </c>
      <c r="K34" s="2"/>
      <c r="L34" s="2" t="s">
        <v>251</v>
      </c>
    </row>
    <row r="35" spans="1:12" ht="112">
      <c r="A35" s="2" t="s">
        <v>25</v>
      </c>
      <c r="B35" s="2" t="s">
        <v>252</v>
      </c>
      <c r="C35" s="2"/>
      <c r="D35" s="2" t="s">
        <v>51</v>
      </c>
      <c r="E35" s="2" t="s">
        <v>253</v>
      </c>
      <c r="F35" s="2" t="s">
        <v>254</v>
      </c>
      <c r="G35" s="2" t="s">
        <v>255</v>
      </c>
      <c r="H35" s="2" t="s">
        <v>256</v>
      </c>
      <c r="I35" s="2" t="s">
        <v>257</v>
      </c>
      <c r="J35" s="2" t="s">
        <v>48</v>
      </c>
      <c r="K35" s="2"/>
      <c r="L35" s="2" t="s">
        <v>251</v>
      </c>
    </row>
    <row r="36" spans="1:12" ht="98">
      <c r="A36" s="2" t="s">
        <v>25</v>
      </c>
      <c r="B36" s="2" t="s">
        <v>258</v>
      </c>
      <c r="C36" s="2"/>
      <c r="D36" s="2" t="s">
        <v>185</v>
      </c>
      <c r="E36" s="2" t="s">
        <v>259</v>
      </c>
      <c r="F36" s="2" t="s">
        <v>260</v>
      </c>
      <c r="G36" s="2" t="s">
        <v>261</v>
      </c>
      <c r="H36" s="2" t="s">
        <v>262</v>
      </c>
      <c r="I36" s="2" t="s">
        <v>263</v>
      </c>
      <c r="J36" s="2" t="s">
        <v>48</v>
      </c>
      <c r="K36" s="2"/>
      <c r="L36" s="2" t="s">
        <v>251</v>
      </c>
    </row>
    <row r="37" spans="1:12" ht="126">
      <c r="A37" s="2" t="s">
        <v>25</v>
      </c>
      <c r="B37" s="2" t="s">
        <v>264</v>
      </c>
      <c r="C37" s="2"/>
      <c r="D37" s="2" t="s">
        <v>185</v>
      </c>
      <c r="E37" s="2" t="s">
        <v>265</v>
      </c>
      <c r="F37" s="2" t="s">
        <v>266</v>
      </c>
      <c r="G37" s="2" t="s">
        <v>267</v>
      </c>
      <c r="H37" s="2" t="s">
        <v>268</v>
      </c>
      <c r="I37" s="2" t="s">
        <v>269</v>
      </c>
      <c r="J37" s="2" t="s">
        <v>48</v>
      </c>
      <c r="K37" s="2"/>
      <c r="L37" s="2" t="s">
        <v>251</v>
      </c>
    </row>
    <row r="38" spans="1:12" ht="126">
      <c r="A38" s="2" t="s">
        <v>25</v>
      </c>
      <c r="B38" s="2" t="s">
        <v>270</v>
      </c>
      <c r="C38" s="2"/>
      <c r="D38" s="2" t="s">
        <v>185</v>
      </c>
      <c r="E38" s="2" t="s">
        <v>271</v>
      </c>
      <c r="F38" s="2" t="s">
        <v>272</v>
      </c>
      <c r="G38" s="2" t="s">
        <v>273</v>
      </c>
      <c r="H38" s="2" t="s">
        <v>274</v>
      </c>
      <c r="I38" s="2" t="s">
        <v>275</v>
      </c>
      <c r="J38" s="2" t="s">
        <v>48</v>
      </c>
      <c r="K38" s="2"/>
      <c r="L38" s="2" t="s">
        <v>251</v>
      </c>
    </row>
    <row r="39" spans="1:12" ht="140">
      <c r="A39" s="2" t="s">
        <v>25</v>
      </c>
      <c r="B39" s="2" t="s">
        <v>276</v>
      </c>
      <c r="C39" s="2"/>
      <c r="D39" s="2" t="s">
        <v>185</v>
      </c>
      <c r="E39" s="2" t="s">
        <v>277</v>
      </c>
      <c r="F39" s="2" t="s">
        <v>278</v>
      </c>
      <c r="G39" s="2" t="s">
        <v>279</v>
      </c>
      <c r="H39" s="2" t="s">
        <v>280</v>
      </c>
      <c r="I39" s="2" t="s">
        <v>281</v>
      </c>
      <c r="J39" s="2" t="s">
        <v>48</v>
      </c>
      <c r="K39" s="2"/>
      <c r="L39" s="2" t="s">
        <v>251</v>
      </c>
    </row>
    <row r="40" spans="1:12" ht="112">
      <c r="A40" s="2" t="s">
        <v>25</v>
      </c>
      <c r="B40" s="2" t="s">
        <v>282</v>
      </c>
      <c r="C40" s="2"/>
      <c r="D40" s="2" t="s">
        <v>233</v>
      </c>
      <c r="E40" s="2" t="s">
        <v>283</v>
      </c>
      <c r="F40" s="2" t="s">
        <v>284</v>
      </c>
      <c r="G40" s="2" t="s">
        <v>285</v>
      </c>
      <c r="H40" s="2" t="s">
        <v>286</v>
      </c>
      <c r="I40" s="2" t="s">
        <v>287</v>
      </c>
      <c r="J40" s="2" t="s">
        <v>48</v>
      </c>
      <c r="K40" s="2"/>
      <c r="L40" s="2" t="s">
        <v>251</v>
      </c>
    </row>
  </sheetData>
  <conditionalFormatting sqref="J2:J40">
    <cfRule type="expression" dxfId="5" priority="1">
      <formula>J2="Open"</formula>
    </cfRule>
  </conditionalFormatting>
  <conditionalFormatting sqref="K2:K40">
    <cfRule type="expression" dxfId="4" priority="2">
      <formula>K2="High"</formula>
    </cfRule>
  </conditionalFormatting>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59"/>
  <sheetViews>
    <sheetView zoomScaleNormal="100" zoomScaleSheetLayoutView="100" workbookViewId="0"/>
  </sheetViews>
  <sheetFormatPr defaultRowHeight="14"/>
  <cols>
    <col min="1" max="1" width="12" customWidth="1"/>
    <col min="2" max="2" width="18" customWidth="1"/>
    <col min="3" max="3" width="24" customWidth="1"/>
    <col min="4" max="4" width="20" customWidth="1"/>
    <col min="5" max="5" width="52" customWidth="1"/>
    <col min="6" max="6" width="48" customWidth="1"/>
    <col min="7" max="7" width="24" customWidth="1"/>
    <col min="8" max="8" width="34" customWidth="1"/>
  </cols>
  <sheetData>
    <row r="1" spans="1:8" ht="30" customHeight="1">
      <c r="A1" s="1" t="s">
        <v>4</v>
      </c>
      <c r="B1" s="1" t="s">
        <v>288</v>
      </c>
      <c r="C1" s="1" t="s">
        <v>289</v>
      </c>
      <c r="D1" s="1" t="s">
        <v>290</v>
      </c>
      <c r="E1" s="1" t="s">
        <v>291</v>
      </c>
      <c r="F1" s="1" t="s">
        <v>292</v>
      </c>
      <c r="G1" s="1" t="s">
        <v>293</v>
      </c>
      <c r="H1" s="1" t="s">
        <v>40</v>
      </c>
    </row>
    <row r="2" spans="1:8" ht="126">
      <c r="A2" s="2" t="s">
        <v>17</v>
      </c>
      <c r="B2" s="2" t="s">
        <v>294</v>
      </c>
      <c r="C2" s="2"/>
      <c r="D2" s="2" t="s">
        <v>8</v>
      </c>
      <c r="E2" s="2" t="s">
        <v>295</v>
      </c>
      <c r="F2" s="2" t="s">
        <v>296</v>
      </c>
      <c r="G2" s="2" t="s">
        <v>297</v>
      </c>
      <c r="H2" s="2" t="s">
        <v>49</v>
      </c>
    </row>
    <row r="3" spans="1:8" ht="154">
      <c r="A3" s="2" t="s">
        <v>17</v>
      </c>
      <c r="B3" s="2" t="s">
        <v>298</v>
      </c>
      <c r="C3" s="2"/>
      <c r="D3" s="2" t="s">
        <v>8</v>
      </c>
      <c r="E3" s="2" t="s">
        <v>299</v>
      </c>
      <c r="F3" s="2" t="s">
        <v>300</v>
      </c>
      <c r="G3" s="2" t="s">
        <v>301</v>
      </c>
      <c r="H3" s="2" t="s">
        <v>49</v>
      </c>
    </row>
    <row r="4" spans="1:8" ht="168">
      <c r="A4" s="2" t="s">
        <v>17</v>
      </c>
      <c r="B4" s="2" t="s">
        <v>302</v>
      </c>
      <c r="C4" s="2"/>
      <c r="D4" s="2" t="s">
        <v>8</v>
      </c>
      <c r="E4" s="2" t="s">
        <v>303</v>
      </c>
      <c r="F4" s="2" t="s">
        <v>304</v>
      </c>
      <c r="G4" s="2" t="s">
        <v>305</v>
      </c>
      <c r="H4" s="2" t="s">
        <v>49</v>
      </c>
    </row>
    <row r="5" spans="1:8" ht="112">
      <c r="A5" s="2" t="s">
        <v>17</v>
      </c>
      <c r="B5" s="2" t="s">
        <v>306</v>
      </c>
      <c r="C5" s="2"/>
      <c r="D5" s="2" t="s">
        <v>8</v>
      </c>
      <c r="E5" s="2" t="s">
        <v>307</v>
      </c>
      <c r="F5" s="2" t="s">
        <v>300</v>
      </c>
      <c r="G5" s="2" t="s">
        <v>308</v>
      </c>
      <c r="H5" s="2" t="s">
        <v>49</v>
      </c>
    </row>
    <row r="6" spans="1:8" ht="112">
      <c r="A6" s="2" t="s">
        <v>17</v>
      </c>
      <c r="B6" s="2" t="s">
        <v>309</v>
      </c>
      <c r="C6" s="2"/>
      <c r="D6" s="2" t="s">
        <v>8</v>
      </c>
      <c r="E6" s="2" t="s">
        <v>310</v>
      </c>
      <c r="F6" s="2" t="s">
        <v>300</v>
      </c>
      <c r="G6" s="2" t="s">
        <v>311</v>
      </c>
      <c r="H6" s="2" t="s">
        <v>49</v>
      </c>
    </row>
    <row r="7" spans="1:8" ht="140">
      <c r="A7" s="2" t="s">
        <v>17</v>
      </c>
      <c r="B7" s="2" t="s">
        <v>312</v>
      </c>
      <c r="C7" s="2"/>
      <c r="D7" s="2" t="s">
        <v>8</v>
      </c>
      <c r="E7" s="2" t="s">
        <v>313</v>
      </c>
      <c r="F7" s="2" t="s">
        <v>296</v>
      </c>
      <c r="G7" s="2" t="s">
        <v>314</v>
      </c>
      <c r="H7" s="2" t="s">
        <v>49</v>
      </c>
    </row>
    <row r="8" spans="1:8" ht="140">
      <c r="A8" s="2" t="s">
        <v>17</v>
      </c>
      <c r="B8" s="2" t="s">
        <v>315</v>
      </c>
      <c r="C8" s="2"/>
      <c r="D8" s="2" t="s">
        <v>8</v>
      </c>
      <c r="E8" s="2" t="s">
        <v>316</v>
      </c>
      <c r="F8" s="2" t="s">
        <v>317</v>
      </c>
      <c r="G8" s="2" t="s">
        <v>318</v>
      </c>
      <c r="H8" s="2" t="s">
        <v>49</v>
      </c>
    </row>
    <row r="9" spans="1:8" ht="98">
      <c r="A9" s="2" t="s">
        <v>17</v>
      </c>
      <c r="B9" s="2" t="s">
        <v>319</v>
      </c>
      <c r="C9" s="2"/>
      <c r="D9" s="2" t="s">
        <v>8</v>
      </c>
      <c r="E9" s="2" t="s">
        <v>320</v>
      </c>
      <c r="F9" s="2" t="s">
        <v>300</v>
      </c>
      <c r="G9" s="2" t="s">
        <v>321</v>
      </c>
      <c r="H9" s="2" t="s">
        <v>49</v>
      </c>
    </row>
    <row r="10" spans="1:8" ht="98">
      <c r="A10" s="2" t="s">
        <v>17</v>
      </c>
      <c r="B10" s="2" t="s">
        <v>322</v>
      </c>
      <c r="C10" s="2"/>
      <c r="D10" s="2" t="s">
        <v>8</v>
      </c>
      <c r="E10" s="2" t="s">
        <v>323</v>
      </c>
      <c r="F10" s="2" t="s">
        <v>300</v>
      </c>
      <c r="G10" s="2" t="s">
        <v>324</v>
      </c>
      <c r="H10" s="2" t="s">
        <v>49</v>
      </c>
    </row>
    <row r="11" spans="1:8" ht="98">
      <c r="A11" s="2" t="s">
        <v>17</v>
      </c>
      <c r="B11" s="2" t="s">
        <v>325</v>
      </c>
      <c r="C11" s="2"/>
      <c r="D11" s="2" t="s">
        <v>8</v>
      </c>
      <c r="E11" s="2" t="s">
        <v>326</v>
      </c>
      <c r="F11" s="2" t="s">
        <v>300</v>
      </c>
      <c r="G11" s="2" t="s">
        <v>327</v>
      </c>
      <c r="H11" s="2" t="s">
        <v>49</v>
      </c>
    </row>
    <row r="12" spans="1:8" ht="126">
      <c r="A12" s="2" t="s">
        <v>17</v>
      </c>
      <c r="B12" s="2" t="s">
        <v>328</v>
      </c>
      <c r="C12" s="2"/>
      <c r="D12" s="2" t="s">
        <v>8</v>
      </c>
      <c r="E12" s="2" t="s">
        <v>329</v>
      </c>
      <c r="F12" s="2" t="s">
        <v>300</v>
      </c>
      <c r="G12" s="2" t="s">
        <v>330</v>
      </c>
      <c r="H12" s="2" t="s">
        <v>49</v>
      </c>
    </row>
    <row r="13" spans="1:8" ht="98">
      <c r="A13" s="2" t="s">
        <v>17</v>
      </c>
      <c r="B13" s="2" t="s">
        <v>331</v>
      </c>
      <c r="C13" s="2"/>
      <c r="D13" s="2" t="s">
        <v>8</v>
      </c>
      <c r="E13" s="2" t="s">
        <v>332</v>
      </c>
      <c r="F13" s="2" t="s">
        <v>300</v>
      </c>
      <c r="G13" s="2" t="s">
        <v>333</v>
      </c>
      <c r="H13" s="2" t="s">
        <v>49</v>
      </c>
    </row>
    <row r="14" spans="1:8" ht="98">
      <c r="A14" s="2" t="s">
        <v>17</v>
      </c>
      <c r="B14" s="2" t="s">
        <v>334</v>
      </c>
      <c r="C14" s="2"/>
      <c r="D14" s="2" t="s">
        <v>8</v>
      </c>
      <c r="E14" s="2" t="s">
        <v>335</v>
      </c>
      <c r="F14" s="2" t="s">
        <v>300</v>
      </c>
      <c r="G14" s="2" t="s">
        <v>336</v>
      </c>
      <c r="H14" s="2" t="s">
        <v>49</v>
      </c>
    </row>
    <row r="15" spans="1:8" ht="140">
      <c r="A15" s="2" t="s">
        <v>17</v>
      </c>
      <c r="B15" s="2" t="s">
        <v>337</v>
      </c>
      <c r="C15" s="2"/>
      <c r="D15" s="2" t="s">
        <v>8</v>
      </c>
      <c r="E15" s="2" t="s">
        <v>338</v>
      </c>
      <c r="F15" s="2" t="s">
        <v>317</v>
      </c>
      <c r="G15" s="2" t="s">
        <v>339</v>
      </c>
      <c r="H15" s="2" t="s">
        <v>49</v>
      </c>
    </row>
    <row r="16" spans="1:8" ht="84">
      <c r="A16" s="2" t="s">
        <v>17</v>
      </c>
      <c r="B16" s="2" t="s">
        <v>340</v>
      </c>
      <c r="C16" s="2"/>
      <c r="D16" s="2" t="s">
        <v>8</v>
      </c>
      <c r="E16" s="2" t="s">
        <v>341</v>
      </c>
      <c r="F16" s="2" t="s">
        <v>300</v>
      </c>
      <c r="G16" s="2" t="s">
        <v>342</v>
      </c>
      <c r="H16" s="2" t="s">
        <v>49</v>
      </c>
    </row>
    <row r="17" spans="1:8" ht="112">
      <c r="A17" s="2" t="s">
        <v>17</v>
      </c>
      <c r="B17" s="2" t="s">
        <v>343</v>
      </c>
      <c r="C17" s="2"/>
      <c r="D17" s="2" t="s">
        <v>8</v>
      </c>
      <c r="E17" s="2" t="s">
        <v>344</v>
      </c>
      <c r="F17" s="2" t="s">
        <v>317</v>
      </c>
      <c r="G17" s="2" t="s">
        <v>345</v>
      </c>
      <c r="H17" s="2" t="s">
        <v>49</v>
      </c>
    </row>
    <row r="18" spans="1:8" ht="112">
      <c r="A18" s="2" t="s">
        <v>17</v>
      </c>
      <c r="B18" s="2" t="s">
        <v>346</v>
      </c>
      <c r="C18" s="2"/>
      <c r="D18" s="2" t="s">
        <v>8</v>
      </c>
      <c r="E18" s="2" t="s">
        <v>347</v>
      </c>
      <c r="F18" s="2" t="s">
        <v>317</v>
      </c>
      <c r="G18" s="2" t="s">
        <v>348</v>
      </c>
      <c r="H18" s="2" t="s">
        <v>49</v>
      </c>
    </row>
    <row r="19" spans="1:8" ht="112">
      <c r="A19" s="2" t="s">
        <v>17</v>
      </c>
      <c r="B19" s="2" t="s">
        <v>349</v>
      </c>
      <c r="C19" s="2"/>
      <c r="D19" s="2" t="s">
        <v>8</v>
      </c>
      <c r="E19" s="2" t="s">
        <v>350</v>
      </c>
      <c r="F19" s="2" t="s">
        <v>317</v>
      </c>
      <c r="G19" s="2" t="s">
        <v>351</v>
      </c>
      <c r="H19" s="2" t="s">
        <v>49</v>
      </c>
    </row>
    <row r="20" spans="1:8" ht="126">
      <c r="A20" s="2" t="s">
        <v>17</v>
      </c>
      <c r="B20" s="2" t="s">
        <v>352</v>
      </c>
      <c r="C20" s="2"/>
      <c r="D20" s="2" t="s">
        <v>8</v>
      </c>
      <c r="E20" s="2" t="s">
        <v>353</v>
      </c>
      <c r="F20" s="2" t="s">
        <v>317</v>
      </c>
      <c r="G20" s="2" t="s">
        <v>354</v>
      </c>
      <c r="H20" s="2" t="s">
        <v>49</v>
      </c>
    </row>
    <row r="21" spans="1:8" ht="98">
      <c r="A21" s="2" t="s">
        <v>17</v>
      </c>
      <c r="B21" s="2" t="s">
        <v>355</v>
      </c>
      <c r="C21" s="2"/>
      <c r="D21" s="2" t="s">
        <v>8</v>
      </c>
      <c r="E21" s="2" t="s">
        <v>356</v>
      </c>
      <c r="F21" s="2" t="s">
        <v>300</v>
      </c>
      <c r="G21" s="2" t="s">
        <v>357</v>
      </c>
      <c r="H21" s="2" t="s">
        <v>49</v>
      </c>
    </row>
    <row r="22" spans="1:8" ht="112">
      <c r="A22" s="2" t="s">
        <v>17</v>
      </c>
      <c r="B22" s="2" t="s">
        <v>358</v>
      </c>
      <c r="C22" s="2"/>
      <c r="D22" s="2" t="s">
        <v>8</v>
      </c>
      <c r="E22" s="2" t="s">
        <v>359</v>
      </c>
      <c r="F22" s="2" t="s">
        <v>300</v>
      </c>
      <c r="G22" s="2" t="s">
        <v>360</v>
      </c>
      <c r="H22" s="2" t="s">
        <v>49</v>
      </c>
    </row>
    <row r="23" spans="1:8" ht="112">
      <c r="A23" s="2" t="s">
        <v>17</v>
      </c>
      <c r="B23" s="2" t="s">
        <v>361</v>
      </c>
      <c r="C23" s="2"/>
      <c r="D23" s="2" t="s">
        <v>8</v>
      </c>
      <c r="E23" s="2" t="s">
        <v>362</v>
      </c>
      <c r="F23" s="2" t="s">
        <v>300</v>
      </c>
      <c r="G23" s="2" t="s">
        <v>363</v>
      </c>
      <c r="H23" s="2" t="s">
        <v>49</v>
      </c>
    </row>
    <row r="24" spans="1:8" ht="112">
      <c r="A24" s="2" t="s">
        <v>17</v>
      </c>
      <c r="B24" s="2" t="s">
        <v>364</v>
      </c>
      <c r="C24" s="2"/>
      <c r="D24" s="2" t="s">
        <v>8</v>
      </c>
      <c r="E24" s="2" t="s">
        <v>365</v>
      </c>
      <c r="F24" s="2" t="s">
        <v>317</v>
      </c>
      <c r="G24" s="2" t="s">
        <v>366</v>
      </c>
      <c r="H24" s="2" t="s">
        <v>49</v>
      </c>
    </row>
    <row r="25" spans="1:8" ht="112">
      <c r="A25" s="2" t="s">
        <v>17</v>
      </c>
      <c r="B25" s="2" t="s">
        <v>367</v>
      </c>
      <c r="C25" s="2"/>
      <c r="D25" s="2" t="s">
        <v>8</v>
      </c>
      <c r="E25" s="2" t="s">
        <v>368</v>
      </c>
      <c r="F25" s="2" t="s">
        <v>317</v>
      </c>
      <c r="G25" s="2" t="s">
        <v>369</v>
      </c>
      <c r="H25" s="2" t="s">
        <v>49</v>
      </c>
    </row>
    <row r="26" spans="1:8" ht="112">
      <c r="A26" s="2" t="s">
        <v>17</v>
      </c>
      <c r="B26" s="2" t="s">
        <v>370</v>
      </c>
      <c r="C26" s="2"/>
      <c r="D26" s="2" t="s">
        <v>8</v>
      </c>
      <c r="E26" s="2" t="s">
        <v>371</v>
      </c>
      <c r="F26" s="2" t="s">
        <v>300</v>
      </c>
      <c r="G26" s="2" t="s">
        <v>372</v>
      </c>
      <c r="H26" s="2" t="s">
        <v>49</v>
      </c>
    </row>
    <row r="27" spans="1:8" ht="112">
      <c r="A27" s="2" t="s">
        <v>17</v>
      </c>
      <c r="B27" s="2" t="s">
        <v>373</v>
      </c>
      <c r="C27" s="2"/>
      <c r="D27" s="2" t="s">
        <v>8</v>
      </c>
      <c r="E27" s="2" t="s">
        <v>374</v>
      </c>
      <c r="F27" s="2" t="s">
        <v>317</v>
      </c>
      <c r="G27" s="2" t="s">
        <v>375</v>
      </c>
      <c r="H27" s="2" t="s">
        <v>49</v>
      </c>
    </row>
    <row r="28" spans="1:8" ht="112">
      <c r="A28" s="2" t="s">
        <v>17</v>
      </c>
      <c r="B28" s="2" t="s">
        <v>376</v>
      </c>
      <c r="C28" s="2"/>
      <c r="D28" s="2" t="s">
        <v>8</v>
      </c>
      <c r="E28" s="2" t="s">
        <v>377</v>
      </c>
      <c r="F28" s="2" t="s">
        <v>300</v>
      </c>
      <c r="G28" s="2" t="s">
        <v>378</v>
      </c>
      <c r="H28" s="2" t="s">
        <v>49</v>
      </c>
    </row>
    <row r="29" spans="1:8" ht="154">
      <c r="A29" s="2" t="s">
        <v>19</v>
      </c>
      <c r="B29" s="2" t="s">
        <v>379</v>
      </c>
      <c r="C29" s="2"/>
      <c r="D29" s="2" t="s">
        <v>8</v>
      </c>
      <c r="E29" s="2" t="s">
        <v>380</v>
      </c>
      <c r="F29" s="2" t="s">
        <v>381</v>
      </c>
      <c r="G29" s="2" t="s">
        <v>382</v>
      </c>
      <c r="H29" s="2" t="s">
        <v>191</v>
      </c>
    </row>
    <row r="30" spans="1:8" ht="126">
      <c r="A30" s="2" t="s">
        <v>19</v>
      </c>
      <c r="B30" s="2" t="s">
        <v>383</v>
      </c>
      <c r="C30" s="2"/>
      <c r="D30" s="2" t="s">
        <v>8</v>
      </c>
      <c r="E30" s="2" t="s">
        <v>384</v>
      </c>
      <c r="F30" s="2" t="s">
        <v>385</v>
      </c>
      <c r="G30" s="2" t="s">
        <v>386</v>
      </c>
      <c r="H30" s="2" t="s">
        <v>191</v>
      </c>
    </row>
    <row r="31" spans="1:8" ht="126">
      <c r="A31" s="2" t="s">
        <v>19</v>
      </c>
      <c r="B31" s="2" t="s">
        <v>387</v>
      </c>
      <c r="C31" s="2"/>
      <c r="D31" s="2" t="s">
        <v>8</v>
      </c>
      <c r="E31" s="2" t="s">
        <v>388</v>
      </c>
      <c r="F31" s="2" t="s">
        <v>389</v>
      </c>
      <c r="G31" s="2" t="s">
        <v>390</v>
      </c>
      <c r="H31" s="2" t="s">
        <v>191</v>
      </c>
    </row>
    <row r="32" spans="1:8" ht="98">
      <c r="A32" s="2" t="s">
        <v>19</v>
      </c>
      <c r="B32" s="2" t="s">
        <v>391</v>
      </c>
      <c r="C32" s="2"/>
      <c r="D32" s="2" t="s">
        <v>8</v>
      </c>
      <c r="E32" s="2" t="s">
        <v>392</v>
      </c>
      <c r="F32" s="2" t="s">
        <v>393</v>
      </c>
      <c r="G32" s="2" t="s">
        <v>394</v>
      </c>
      <c r="H32" s="2" t="s">
        <v>191</v>
      </c>
    </row>
    <row r="33" spans="1:8" ht="140">
      <c r="A33" s="2" t="s">
        <v>19</v>
      </c>
      <c r="B33" s="2" t="s">
        <v>395</v>
      </c>
      <c r="C33" s="2"/>
      <c r="D33" s="2" t="s">
        <v>8</v>
      </c>
      <c r="E33" s="2" t="s">
        <v>396</v>
      </c>
      <c r="F33" s="2" t="s">
        <v>397</v>
      </c>
      <c r="G33" s="2" t="s">
        <v>398</v>
      </c>
      <c r="H33" s="2" t="s">
        <v>191</v>
      </c>
    </row>
    <row r="34" spans="1:8" ht="28">
      <c r="A34" s="2" t="s">
        <v>21</v>
      </c>
      <c r="B34" s="2" t="s">
        <v>399</v>
      </c>
      <c r="C34" s="2" t="s">
        <v>400</v>
      </c>
      <c r="D34" s="2" t="s">
        <v>401</v>
      </c>
      <c r="E34" s="2" t="s">
        <v>402</v>
      </c>
      <c r="F34" s="2" t="s">
        <v>403</v>
      </c>
      <c r="G34" s="2"/>
      <c r="H34" s="2" t="s">
        <v>218</v>
      </c>
    </row>
    <row r="35" spans="1:8" ht="42">
      <c r="A35" s="2" t="s">
        <v>21</v>
      </c>
      <c r="B35" s="2" t="s">
        <v>404</v>
      </c>
      <c r="C35" s="2" t="s">
        <v>405</v>
      </c>
      <c r="D35" s="2" t="s">
        <v>15</v>
      </c>
      <c r="E35" s="2" t="s">
        <v>406</v>
      </c>
      <c r="F35" s="2" t="s">
        <v>407</v>
      </c>
      <c r="G35" s="2"/>
      <c r="H35" s="2" t="s">
        <v>218</v>
      </c>
    </row>
    <row r="36" spans="1:8" ht="28">
      <c r="A36" s="2" t="s">
        <v>21</v>
      </c>
      <c r="B36" s="2" t="s">
        <v>408</v>
      </c>
      <c r="C36" s="2" t="s">
        <v>409</v>
      </c>
      <c r="D36" s="2" t="s">
        <v>410</v>
      </c>
      <c r="E36" s="2" t="s">
        <v>411</v>
      </c>
      <c r="F36" s="2" t="s">
        <v>412</v>
      </c>
      <c r="G36" s="2"/>
      <c r="H36" s="2" t="s">
        <v>218</v>
      </c>
    </row>
    <row r="37" spans="1:8" ht="42">
      <c r="A37" s="2" t="s">
        <v>21</v>
      </c>
      <c r="B37" s="2" t="s">
        <v>413</v>
      </c>
      <c r="C37" s="2" t="s">
        <v>414</v>
      </c>
      <c r="D37" s="2" t="s">
        <v>415</v>
      </c>
      <c r="E37" s="2" t="s">
        <v>416</v>
      </c>
      <c r="F37" s="2" t="s">
        <v>417</v>
      </c>
      <c r="G37" s="2"/>
      <c r="H37" s="2" t="s">
        <v>218</v>
      </c>
    </row>
    <row r="38" spans="1:8" ht="28">
      <c r="A38" s="2" t="s">
        <v>21</v>
      </c>
      <c r="B38" s="2" t="s">
        <v>418</v>
      </c>
      <c r="C38" s="2" t="s">
        <v>419</v>
      </c>
      <c r="D38" s="2" t="s">
        <v>420</v>
      </c>
      <c r="E38" s="2" t="s">
        <v>421</v>
      </c>
      <c r="F38" s="2" t="s">
        <v>422</v>
      </c>
      <c r="G38" s="2"/>
      <c r="H38" s="2" t="s">
        <v>218</v>
      </c>
    </row>
    <row r="39" spans="1:8" ht="84">
      <c r="A39" s="2" t="s">
        <v>23</v>
      </c>
      <c r="B39" s="2" t="s">
        <v>423</v>
      </c>
      <c r="C39" s="2"/>
      <c r="D39" s="2" t="s">
        <v>8</v>
      </c>
      <c r="E39" s="2" t="s">
        <v>424</v>
      </c>
      <c r="F39" s="2" t="s">
        <v>425</v>
      </c>
      <c r="G39" s="2" t="s">
        <v>426</v>
      </c>
      <c r="H39" s="2" t="s">
        <v>231</v>
      </c>
    </row>
    <row r="40" spans="1:8" ht="70">
      <c r="A40" s="2" t="s">
        <v>23</v>
      </c>
      <c r="B40" s="2" t="s">
        <v>427</v>
      </c>
      <c r="C40" s="2"/>
      <c r="D40" s="2" t="s">
        <v>8</v>
      </c>
      <c r="E40" s="2" t="s">
        <v>428</v>
      </c>
      <c r="F40" s="2" t="s">
        <v>429</v>
      </c>
      <c r="G40" s="2" t="s">
        <v>430</v>
      </c>
      <c r="H40" s="2" t="s">
        <v>231</v>
      </c>
    </row>
    <row r="41" spans="1:8" ht="126">
      <c r="A41" s="2" t="s">
        <v>25</v>
      </c>
      <c r="B41" s="2" t="s">
        <v>431</v>
      </c>
      <c r="C41" s="2"/>
      <c r="D41" s="2" t="s">
        <v>8</v>
      </c>
      <c r="E41" s="2" t="s">
        <v>432</v>
      </c>
      <c r="F41" s="2" t="s">
        <v>433</v>
      </c>
      <c r="G41" s="2" t="s">
        <v>434</v>
      </c>
      <c r="H41" s="2" t="s">
        <v>251</v>
      </c>
    </row>
    <row r="42" spans="1:8" ht="70">
      <c r="A42" s="2" t="s">
        <v>25</v>
      </c>
      <c r="B42" s="2" t="s">
        <v>435</v>
      </c>
      <c r="C42" s="2"/>
      <c r="D42" s="2" t="s">
        <v>8</v>
      </c>
      <c r="E42" s="2" t="s">
        <v>436</v>
      </c>
      <c r="F42" s="2" t="s">
        <v>437</v>
      </c>
      <c r="G42" s="2" t="s">
        <v>438</v>
      </c>
      <c r="H42" s="2" t="s">
        <v>251</v>
      </c>
    </row>
    <row r="43" spans="1:8" ht="84">
      <c r="A43" s="2" t="s">
        <v>25</v>
      </c>
      <c r="B43" s="2" t="s">
        <v>439</v>
      </c>
      <c r="C43" s="2"/>
      <c r="D43" s="2" t="s">
        <v>8</v>
      </c>
      <c r="E43" s="2" t="s">
        <v>440</v>
      </c>
      <c r="F43" s="2" t="s">
        <v>441</v>
      </c>
      <c r="G43" s="2" t="s">
        <v>442</v>
      </c>
      <c r="H43" s="2" t="s">
        <v>251</v>
      </c>
    </row>
    <row r="44" spans="1:8" ht="84">
      <c r="A44" s="2" t="s">
        <v>25</v>
      </c>
      <c r="B44" s="2" t="s">
        <v>443</v>
      </c>
      <c r="C44" s="2"/>
      <c r="D44" s="2" t="s">
        <v>8</v>
      </c>
      <c r="E44" s="2" t="s">
        <v>444</v>
      </c>
      <c r="F44" s="2" t="s">
        <v>445</v>
      </c>
      <c r="G44" s="2" t="s">
        <v>446</v>
      </c>
      <c r="H44" s="2" t="s">
        <v>251</v>
      </c>
    </row>
    <row r="45" spans="1:8" ht="84">
      <c r="A45" s="2" t="s">
        <v>25</v>
      </c>
      <c r="B45" s="2" t="s">
        <v>447</v>
      </c>
      <c r="C45" s="2"/>
      <c r="D45" s="2" t="s">
        <v>8</v>
      </c>
      <c r="E45" s="2" t="s">
        <v>448</v>
      </c>
      <c r="F45" s="2" t="s">
        <v>449</v>
      </c>
      <c r="G45" s="2" t="s">
        <v>450</v>
      </c>
      <c r="H45" s="2" t="s">
        <v>251</v>
      </c>
    </row>
    <row r="46" spans="1:8" ht="98">
      <c r="A46" s="2" t="s">
        <v>25</v>
      </c>
      <c r="B46" s="2" t="s">
        <v>451</v>
      </c>
      <c r="C46" s="2"/>
      <c r="D46" s="2" t="s">
        <v>8</v>
      </c>
      <c r="E46" s="2" t="s">
        <v>452</v>
      </c>
      <c r="F46" s="2" t="s">
        <v>453</v>
      </c>
      <c r="G46" s="2" t="s">
        <v>454</v>
      </c>
      <c r="H46" s="2" t="s">
        <v>251</v>
      </c>
    </row>
    <row r="47" spans="1:8" ht="84">
      <c r="A47" s="2" t="s">
        <v>25</v>
      </c>
      <c r="B47" s="2" t="s">
        <v>455</v>
      </c>
      <c r="C47" s="2"/>
      <c r="D47" s="2" t="s">
        <v>8</v>
      </c>
      <c r="E47" s="2" t="s">
        <v>456</v>
      </c>
      <c r="F47" s="2" t="s">
        <v>457</v>
      </c>
      <c r="G47" s="2" t="s">
        <v>458</v>
      </c>
      <c r="H47" s="2" t="s">
        <v>251</v>
      </c>
    </row>
    <row r="48" spans="1:8" ht="98">
      <c r="A48" s="2" t="s">
        <v>25</v>
      </c>
      <c r="B48" s="2" t="s">
        <v>459</v>
      </c>
      <c r="C48" s="2"/>
      <c r="D48" s="2" t="s">
        <v>8</v>
      </c>
      <c r="E48" s="2" t="s">
        <v>460</v>
      </c>
      <c r="F48" s="2" t="s">
        <v>461</v>
      </c>
      <c r="G48" s="2" t="s">
        <v>462</v>
      </c>
      <c r="H48" s="2" t="s">
        <v>251</v>
      </c>
    </row>
    <row r="49" spans="1:8" ht="70">
      <c r="A49" s="2" t="s">
        <v>25</v>
      </c>
      <c r="B49" s="2" t="s">
        <v>463</v>
      </c>
      <c r="C49" s="2"/>
      <c r="D49" s="2" t="s">
        <v>8</v>
      </c>
      <c r="E49" s="2" t="s">
        <v>464</v>
      </c>
      <c r="F49" s="2" t="s">
        <v>465</v>
      </c>
      <c r="G49" s="2" t="s">
        <v>466</v>
      </c>
      <c r="H49" s="2" t="s">
        <v>251</v>
      </c>
    </row>
    <row r="50" spans="1:8" ht="84">
      <c r="A50" s="2" t="s">
        <v>25</v>
      </c>
      <c r="B50" s="2" t="s">
        <v>467</v>
      </c>
      <c r="C50" s="2"/>
      <c r="D50" s="2" t="s">
        <v>8</v>
      </c>
      <c r="E50" s="2" t="s">
        <v>468</v>
      </c>
      <c r="F50" s="2" t="s">
        <v>469</v>
      </c>
      <c r="G50" s="2" t="s">
        <v>470</v>
      </c>
      <c r="H50" s="2" t="s">
        <v>251</v>
      </c>
    </row>
    <row r="51" spans="1:8" ht="84">
      <c r="A51" s="2" t="s">
        <v>25</v>
      </c>
      <c r="B51" s="2" t="s">
        <v>471</v>
      </c>
      <c r="C51" s="2"/>
      <c r="D51" s="2" t="s">
        <v>8</v>
      </c>
      <c r="E51" s="2" t="s">
        <v>472</v>
      </c>
      <c r="F51" s="2" t="s">
        <v>473</v>
      </c>
      <c r="G51" s="2" t="s">
        <v>474</v>
      </c>
      <c r="H51" s="2" t="s">
        <v>251</v>
      </c>
    </row>
    <row r="52" spans="1:8" ht="112">
      <c r="A52" s="2" t="s">
        <v>25</v>
      </c>
      <c r="B52" s="2" t="s">
        <v>475</v>
      </c>
      <c r="C52" s="2"/>
      <c r="D52" s="2" t="s">
        <v>8</v>
      </c>
      <c r="E52" s="2" t="s">
        <v>476</v>
      </c>
      <c r="F52" s="2" t="s">
        <v>477</v>
      </c>
      <c r="G52" s="2" t="s">
        <v>478</v>
      </c>
      <c r="H52" s="2" t="s">
        <v>251</v>
      </c>
    </row>
    <row r="53" spans="1:8" ht="112">
      <c r="A53" s="2" t="s">
        <v>25</v>
      </c>
      <c r="B53" s="2" t="s">
        <v>479</v>
      </c>
      <c r="C53" s="2"/>
      <c r="D53" s="2" t="s">
        <v>8</v>
      </c>
      <c r="E53" s="2" t="s">
        <v>480</v>
      </c>
      <c r="F53" s="2" t="s">
        <v>481</v>
      </c>
      <c r="G53" s="2" t="s">
        <v>482</v>
      </c>
      <c r="H53" s="2" t="s">
        <v>251</v>
      </c>
    </row>
    <row r="54" spans="1:8" ht="84">
      <c r="A54" s="2" t="s">
        <v>25</v>
      </c>
      <c r="B54" s="2" t="s">
        <v>483</v>
      </c>
      <c r="C54" s="2"/>
      <c r="D54" s="2" t="s">
        <v>8</v>
      </c>
      <c r="E54" s="2" t="s">
        <v>484</v>
      </c>
      <c r="F54" s="2" t="s">
        <v>485</v>
      </c>
      <c r="G54" s="2" t="s">
        <v>486</v>
      </c>
      <c r="H54" s="2" t="s">
        <v>251</v>
      </c>
    </row>
    <row r="55" spans="1:8" ht="126">
      <c r="A55" s="2" t="s">
        <v>25</v>
      </c>
      <c r="B55" s="2" t="s">
        <v>487</v>
      </c>
      <c r="C55" s="2"/>
      <c r="D55" s="2" t="s">
        <v>8</v>
      </c>
      <c r="E55" s="2" t="s">
        <v>488</v>
      </c>
      <c r="F55" s="2" t="s">
        <v>489</v>
      </c>
      <c r="G55" s="2" t="s">
        <v>490</v>
      </c>
      <c r="H55" s="2" t="s">
        <v>251</v>
      </c>
    </row>
    <row r="56" spans="1:8" ht="84">
      <c r="A56" s="2" t="s">
        <v>25</v>
      </c>
      <c r="B56" s="2" t="s">
        <v>491</v>
      </c>
      <c r="C56" s="2"/>
      <c r="D56" s="2" t="s">
        <v>8</v>
      </c>
      <c r="E56" s="2" t="s">
        <v>492</v>
      </c>
      <c r="F56" s="2" t="s">
        <v>493</v>
      </c>
      <c r="G56" s="2" t="s">
        <v>494</v>
      </c>
      <c r="H56" s="2" t="s">
        <v>251</v>
      </c>
    </row>
    <row r="57" spans="1:8" ht="140">
      <c r="A57" s="2" t="s">
        <v>25</v>
      </c>
      <c r="B57" s="2" t="s">
        <v>495</v>
      </c>
      <c r="C57" s="2"/>
      <c r="D57" s="2" t="s">
        <v>8</v>
      </c>
      <c r="E57" s="2" t="s">
        <v>496</v>
      </c>
      <c r="F57" s="2" t="s">
        <v>497</v>
      </c>
      <c r="G57" s="2" t="s">
        <v>498</v>
      </c>
      <c r="H57" s="2" t="s">
        <v>251</v>
      </c>
    </row>
    <row r="58" spans="1:8" ht="70">
      <c r="A58" s="2" t="s">
        <v>25</v>
      </c>
      <c r="B58" s="2" t="s">
        <v>499</v>
      </c>
      <c r="C58" s="2"/>
      <c r="D58" s="2" t="s">
        <v>8</v>
      </c>
      <c r="E58" s="2" t="s">
        <v>500</v>
      </c>
      <c r="F58" s="2" t="s">
        <v>501</v>
      </c>
      <c r="G58" s="2" t="s">
        <v>502</v>
      </c>
      <c r="H58" s="2" t="s">
        <v>251</v>
      </c>
    </row>
    <row r="59" spans="1:8" ht="56">
      <c r="A59" s="2" t="s">
        <v>25</v>
      </c>
      <c r="B59" s="2" t="s">
        <v>503</v>
      </c>
      <c r="C59" s="2"/>
      <c r="D59" s="2" t="s">
        <v>8</v>
      </c>
      <c r="E59" s="2" t="s">
        <v>504</v>
      </c>
      <c r="F59" s="2" t="s">
        <v>505</v>
      </c>
      <c r="G59" s="2" t="s">
        <v>506</v>
      </c>
      <c r="H59" s="2" t="s">
        <v>251</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Q350"/>
  <sheetViews>
    <sheetView zoomScaleNormal="100" zoomScaleSheetLayoutView="100" workbookViewId="0"/>
  </sheetViews>
  <sheetFormatPr defaultRowHeight="14"/>
  <cols>
    <col min="1" max="2" width="12" customWidth="1"/>
    <col min="3" max="3" width="14" customWidth="1"/>
    <col min="4" max="5" width="12" customWidth="1"/>
    <col min="6" max="6" width="11" customWidth="1"/>
    <col min="7" max="7" width="46" customWidth="1"/>
    <col min="8" max="8" width="14" customWidth="1"/>
    <col min="9" max="10" width="24" customWidth="1"/>
    <col min="11" max="12" width="16" customWidth="1"/>
    <col min="13" max="13" width="18" customWidth="1"/>
    <col min="14" max="15" width="17" customWidth="1"/>
    <col min="16" max="17" width="13" customWidth="1"/>
    <col min="18" max="18" width="16" customWidth="1"/>
    <col min="19" max="19" width="22" customWidth="1"/>
    <col min="20" max="20" width="16" customWidth="1"/>
    <col min="21" max="21" width="18" customWidth="1"/>
    <col min="22" max="22" width="16" customWidth="1"/>
    <col min="23" max="24" width="12" customWidth="1"/>
    <col min="25" max="25" width="14" customWidth="1"/>
    <col min="26" max="26" width="18" customWidth="1"/>
    <col min="27" max="27" width="12" customWidth="1"/>
    <col min="28" max="31" width="20" customWidth="1"/>
    <col min="32" max="32" width="22" customWidth="1"/>
    <col min="33" max="34" width="20" customWidth="1"/>
    <col min="35" max="35" width="22" customWidth="1"/>
    <col min="36" max="36" width="18" customWidth="1"/>
    <col min="37" max="37" width="30" customWidth="1"/>
    <col min="38" max="38" width="34" customWidth="1"/>
    <col min="39" max="39" width="24" customWidth="1"/>
    <col min="40" max="40" width="55" customWidth="1"/>
    <col min="41" max="41" width="26" customWidth="1"/>
    <col min="42" max="42" width="14" customWidth="1"/>
    <col min="43" max="43" width="34" customWidth="1"/>
  </cols>
  <sheetData>
    <row r="1" spans="1:43" ht="44.15" customHeight="1">
      <c r="A1" s="1" t="s">
        <v>4</v>
      </c>
      <c r="B1" s="1" t="s">
        <v>30</v>
      </c>
      <c r="C1" s="1" t="s">
        <v>507</v>
      </c>
      <c r="D1" s="1" t="s">
        <v>31</v>
      </c>
      <c r="E1" s="1" t="s">
        <v>32</v>
      </c>
      <c r="F1" s="1" t="s">
        <v>508</v>
      </c>
      <c r="G1" s="1" t="s">
        <v>34</v>
      </c>
      <c r="H1" s="1" t="s">
        <v>509</v>
      </c>
      <c r="I1" s="1" t="s">
        <v>510</v>
      </c>
      <c r="J1" s="1" t="s">
        <v>511</v>
      </c>
      <c r="K1" s="1" t="s">
        <v>512</v>
      </c>
      <c r="L1" s="1" t="s">
        <v>513</v>
      </c>
      <c r="M1" s="1" t="s">
        <v>514</v>
      </c>
      <c r="N1" s="1" t="s">
        <v>515</v>
      </c>
      <c r="O1" s="1" t="s">
        <v>516</v>
      </c>
      <c r="P1" s="1" t="s">
        <v>517</v>
      </c>
      <c r="Q1" s="1" t="s">
        <v>518</v>
      </c>
      <c r="R1" s="1" t="s">
        <v>519</v>
      </c>
      <c r="S1" s="1" t="s">
        <v>520</v>
      </c>
      <c r="T1" s="1" t="s">
        <v>521</v>
      </c>
      <c r="U1" s="1" t="s">
        <v>522</v>
      </c>
      <c r="V1" s="1" t="s">
        <v>523</v>
      </c>
      <c r="W1" s="1" t="s">
        <v>524</v>
      </c>
      <c r="X1" s="1" t="s">
        <v>525</v>
      </c>
      <c r="Y1" s="1" t="s">
        <v>526</v>
      </c>
      <c r="Z1" s="1" t="s">
        <v>527</v>
      </c>
      <c r="AA1" s="1" t="s">
        <v>528</v>
      </c>
      <c r="AB1" s="1" t="s">
        <v>529</v>
      </c>
      <c r="AC1" s="1" t="s">
        <v>530</v>
      </c>
      <c r="AD1" s="1" t="s">
        <v>531</v>
      </c>
      <c r="AE1" s="1" t="s">
        <v>532</v>
      </c>
      <c r="AF1" s="1" t="s">
        <v>533</v>
      </c>
      <c r="AG1" s="1" t="s">
        <v>534</v>
      </c>
      <c r="AH1" s="1" t="s">
        <v>535</v>
      </c>
      <c r="AI1" s="1" t="s">
        <v>536</v>
      </c>
      <c r="AJ1" s="1" t="s">
        <v>537</v>
      </c>
      <c r="AK1" s="1" t="s">
        <v>538</v>
      </c>
      <c r="AL1" s="1" t="s">
        <v>539</v>
      </c>
      <c r="AM1" s="1" t="s">
        <v>540</v>
      </c>
      <c r="AN1" s="1" t="s">
        <v>541</v>
      </c>
      <c r="AO1" s="1" t="s">
        <v>542</v>
      </c>
      <c r="AP1" s="1" t="s">
        <v>543</v>
      </c>
      <c r="AQ1" s="1" t="s">
        <v>40</v>
      </c>
    </row>
    <row r="2" spans="1:43" ht="112">
      <c r="A2" s="2" t="s">
        <v>17</v>
      </c>
      <c r="B2" s="2" t="s">
        <v>544</v>
      </c>
      <c r="C2" s="2" t="s">
        <v>545</v>
      </c>
      <c r="D2" s="2"/>
      <c r="E2" s="2" t="s">
        <v>42</v>
      </c>
      <c r="F2" s="2" t="s">
        <v>546</v>
      </c>
      <c r="G2" s="2" t="s">
        <v>547</v>
      </c>
      <c r="H2" s="2">
        <v>1</v>
      </c>
      <c r="I2" s="2" t="s">
        <v>548</v>
      </c>
      <c r="J2" s="2"/>
      <c r="K2" s="2"/>
      <c r="L2" s="2"/>
      <c r="M2" s="2"/>
      <c r="N2" s="2" t="s">
        <v>8</v>
      </c>
      <c r="O2" s="2" t="s">
        <v>549</v>
      </c>
      <c r="P2" s="2"/>
      <c r="Q2" s="2"/>
      <c r="R2" s="2"/>
      <c r="S2" s="2"/>
      <c r="T2" s="2" t="s">
        <v>550</v>
      </c>
      <c r="U2" s="2" t="s">
        <v>549</v>
      </c>
      <c r="V2" s="2"/>
      <c r="W2" s="2" t="s">
        <v>8</v>
      </c>
      <c r="X2" s="2" t="s">
        <v>8</v>
      </c>
      <c r="Y2" s="2" t="s">
        <v>8</v>
      </c>
      <c r="Z2" s="2" t="s">
        <v>8</v>
      </c>
      <c r="AA2" s="2" t="s">
        <v>549</v>
      </c>
      <c r="AB2" s="2" t="s">
        <v>8</v>
      </c>
      <c r="AC2" s="2"/>
      <c r="AD2" s="2" t="s">
        <v>8</v>
      </c>
      <c r="AE2" s="2" t="s">
        <v>550</v>
      </c>
      <c r="AF2" s="2" t="s">
        <v>551</v>
      </c>
      <c r="AG2" s="2" t="s">
        <v>8</v>
      </c>
      <c r="AH2" s="2"/>
      <c r="AI2" s="2"/>
      <c r="AJ2" s="2"/>
      <c r="AK2" s="2"/>
      <c r="AL2" s="2"/>
      <c r="AM2" s="2" t="s">
        <v>552</v>
      </c>
      <c r="AN2" s="2" t="s">
        <v>553</v>
      </c>
      <c r="AO2" s="2" t="s">
        <v>554</v>
      </c>
      <c r="AP2" s="2"/>
      <c r="AQ2" s="2" t="s">
        <v>49</v>
      </c>
    </row>
    <row r="3" spans="1:43" ht="154">
      <c r="A3" s="2" t="s">
        <v>17</v>
      </c>
      <c r="B3" s="2" t="s">
        <v>41</v>
      </c>
      <c r="C3" s="2" t="s">
        <v>545</v>
      </c>
      <c r="D3" s="2"/>
      <c r="E3" s="2" t="s">
        <v>42</v>
      </c>
      <c r="F3" s="2" t="s">
        <v>546</v>
      </c>
      <c r="G3" s="2" t="s">
        <v>44</v>
      </c>
      <c r="H3" s="2">
        <v>10</v>
      </c>
      <c r="I3" s="2" t="s">
        <v>555</v>
      </c>
      <c r="J3" s="2"/>
      <c r="K3" s="2"/>
      <c r="L3" s="2"/>
      <c r="M3" s="2"/>
      <c r="N3" s="2" t="s">
        <v>8</v>
      </c>
      <c r="O3" s="2" t="s">
        <v>551</v>
      </c>
      <c r="P3" s="2"/>
      <c r="Q3" s="2"/>
      <c r="R3" s="2"/>
      <c r="S3" s="2"/>
      <c r="T3" s="2" t="s">
        <v>550</v>
      </c>
      <c r="U3" s="2" t="s">
        <v>549</v>
      </c>
      <c r="V3" s="2"/>
      <c r="W3" s="2" t="s">
        <v>8</v>
      </c>
      <c r="X3" s="2" t="s">
        <v>8</v>
      </c>
      <c r="Y3" s="2" t="s">
        <v>8</v>
      </c>
      <c r="Z3" s="2" t="s">
        <v>10</v>
      </c>
      <c r="AA3" s="2" t="s">
        <v>551</v>
      </c>
      <c r="AB3" s="2" t="s">
        <v>10</v>
      </c>
      <c r="AC3" s="2"/>
      <c r="AD3" s="2" t="s">
        <v>10</v>
      </c>
      <c r="AE3" s="2" t="s">
        <v>549</v>
      </c>
      <c r="AF3" s="2" t="s">
        <v>551</v>
      </c>
      <c r="AG3" s="2" t="s">
        <v>10</v>
      </c>
      <c r="AH3" s="2"/>
      <c r="AI3" s="2"/>
      <c r="AJ3" s="2"/>
      <c r="AK3" s="2"/>
      <c r="AL3" s="2"/>
      <c r="AM3" s="2" t="s">
        <v>556</v>
      </c>
      <c r="AN3" s="2" t="s">
        <v>45</v>
      </c>
      <c r="AO3" s="2" t="s">
        <v>557</v>
      </c>
      <c r="AP3" s="2"/>
      <c r="AQ3" s="2" t="s">
        <v>49</v>
      </c>
    </row>
    <row r="4" spans="1:43" ht="168">
      <c r="A4" s="2" t="s">
        <v>17</v>
      </c>
      <c r="B4" s="2" t="s">
        <v>50</v>
      </c>
      <c r="C4" s="2" t="s">
        <v>545</v>
      </c>
      <c r="D4" s="2"/>
      <c r="E4" s="2" t="s">
        <v>51</v>
      </c>
      <c r="F4" s="2" t="s">
        <v>546</v>
      </c>
      <c r="G4" s="2" t="s">
        <v>53</v>
      </c>
      <c r="H4" s="2">
        <v>10</v>
      </c>
      <c r="I4" s="2" t="s">
        <v>558</v>
      </c>
      <c r="J4" s="2"/>
      <c r="K4" s="2"/>
      <c r="L4" s="2"/>
      <c r="M4" s="2"/>
      <c r="N4" s="2" t="s">
        <v>8</v>
      </c>
      <c r="O4" s="2" t="s">
        <v>549</v>
      </c>
      <c r="P4" s="2"/>
      <c r="Q4" s="2"/>
      <c r="R4" s="2"/>
      <c r="S4" s="2"/>
      <c r="T4" s="2" t="s">
        <v>550</v>
      </c>
      <c r="U4" s="2" t="s">
        <v>549</v>
      </c>
      <c r="V4" s="2"/>
      <c r="W4" s="2" t="s">
        <v>8</v>
      </c>
      <c r="X4" s="2" t="s">
        <v>8</v>
      </c>
      <c r="Y4" s="2" t="s">
        <v>10</v>
      </c>
      <c r="Z4" s="2" t="s">
        <v>10</v>
      </c>
      <c r="AA4" s="2" t="s">
        <v>551</v>
      </c>
      <c r="AB4" s="2" t="s">
        <v>10</v>
      </c>
      <c r="AC4" s="2"/>
      <c r="AD4" s="2" t="s">
        <v>8</v>
      </c>
      <c r="AE4" s="2" t="s">
        <v>549</v>
      </c>
      <c r="AF4" s="2" t="s">
        <v>551</v>
      </c>
      <c r="AG4" s="2" t="s">
        <v>10</v>
      </c>
      <c r="AH4" s="2"/>
      <c r="AI4" s="2"/>
      <c r="AJ4" s="2"/>
      <c r="AK4" s="2"/>
      <c r="AL4" s="2"/>
      <c r="AM4" s="2" t="s">
        <v>559</v>
      </c>
      <c r="AN4" s="2" t="s">
        <v>54</v>
      </c>
      <c r="AO4" s="2" t="s">
        <v>560</v>
      </c>
      <c r="AP4" s="2"/>
      <c r="AQ4" s="2" t="s">
        <v>49</v>
      </c>
    </row>
    <row r="5" spans="1:43" ht="84">
      <c r="A5" s="2" t="s">
        <v>17</v>
      </c>
      <c r="B5" s="2" t="s">
        <v>561</v>
      </c>
      <c r="C5" s="2" t="s">
        <v>545</v>
      </c>
      <c r="D5" s="2"/>
      <c r="E5" s="2" t="s">
        <v>51</v>
      </c>
      <c r="F5" s="2" t="s">
        <v>562</v>
      </c>
      <c r="G5" s="2" t="s">
        <v>563</v>
      </c>
      <c r="H5" s="2">
        <v>1</v>
      </c>
      <c r="I5" s="2" t="s">
        <v>564</v>
      </c>
      <c r="J5" s="2"/>
      <c r="K5" s="2"/>
      <c r="L5" s="2"/>
      <c r="M5" s="2"/>
      <c r="N5" s="2" t="s">
        <v>8</v>
      </c>
      <c r="O5" s="2" t="s">
        <v>549</v>
      </c>
      <c r="P5" s="2"/>
      <c r="Q5" s="2"/>
      <c r="R5" s="2"/>
      <c r="S5" s="2"/>
      <c r="T5" s="2" t="s">
        <v>550</v>
      </c>
      <c r="U5" s="2" t="s">
        <v>549</v>
      </c>
      <c r="V5" s="2"/>
      <c r="W5" s="2" t="s">
        <v>8</v>
      </c>
      <c r="X5" s="2" t="s">
        <v>550</v>
      </c>
      <c r="Y5" s="2" t="s">
        <v>8</v>
      </c>
      <c r="Z5" s="2" t="s">
        <v>8</v>
      </c>
      <c r="AA5" s="2" t="s">
        <v>549</v>
      </c>
      <c r="AB5" s="2" t="s">
        <v>8</v>
      </c>
      <c r="AC5" s="2"/>
      <c r="AD5" s="2" t="s">
        <v>550</v>
      </c>
      <c r="AE5" s="2" t="s">
        <v>550</v>
      </c>
      <c r="AF5" s="2" t="s">
        <v>551</v>
      </c>
      <c r="AG5" s="2" t="s">
        <v>8</v>
      </c>
      <c r="AH5" s="2"/>
      <c r="AI5" s="2"/>
      <c r="AJ5" s="2"/>
      <c r="AK5" s="2"/>
      <c r="AL5" s="2"/>
      <c r="AM5" s="2" t="s">
        <v>565</v>
      </c>
      <c r="AN5" s="2" t="s">
        <v>566</v>
      </c>
      <c r="AO5" s="2" t="s">
        <v>567</v>
      </c>
      <c r="AP5" s="2"/>
      <c r="AQ5" s="2" t="s">
        <v>49</v>
      </c>
    </row>
    <row r="6" spans="1:43" ht="112">
      <c r="A6" s="2" t="s">
        <v>17</v>
      </c>
      <c r="B6" s="2" t="s">
        <v>57</v>
      </c>
      <c r="C6" s="2" t="s">
        <v>545</v>
      </c>
      <c r="D6" s="2"/>
      <c r="E6" s="2" t="s">
        <v>51</v>
      </c>
      <c r="F6" s="2" t="s">
        <v>562</v>
      </c>
      <c r="G6" s="2" t="s">
        <v>59</v>
      </c>
      <c r="H6" s="2">
        <v>10</v>
      </c>
      <c r="I6" s="2" t="s">
        <v>568</v>
      </c>
      <c r="J6" s="2"/>
      <c r="K6" s="2"/>
      <c r="L6" s="2"/>
      <c r="M6" s="2"/>
      <c r="N6" s="2" t="s">
        <v>10</v>
      </c>
      <c r="O6" s="2" t="s">
        <v>549</v>
      </c>
      <c r="P6" s="2"/>
      <c r="Q6" s="2"/>
      <c r="R6" s="2"/>
      <c r="S6" s="2"/>
      <c r="T6" s="2" t="s">
        <v>550</v>
      </c>
      <c r="U6" s="2" t="s">
        <v>549</v>
      </c>
      <c r="V6" s="2"/>
      <c r="W6" s="2" t="s">
        <v>8</v>
      </c>
      <c r="X6" s="2" t="s">
        <v>8</v>
      </c>
      <c r="Y6" s="2" t="s">
        <v>8</v>
      </c>
      <c r="Z6" s="2" t="s">
        <v>8</v>
      </c>
      <c r="AA6" s="2" t="s">
        <v>551</v>
      </c>
      <c r="AB6" s="2" t="s">
        <v>10</v>
      </c>
      <c r="AC6" s="2"/>
      <c r="AD6" s="2" t="s">
        <v>8</v>
      </c>
      <c r="AE6" s="2" t="s">
        <v>550</v>
      </c>
      <c r="AF6" s="2" t="s">
        <v>551</v>
      </c>
      <c r="AG6" s="2" t="s">
        <v>10</v>
      </c>
      <c r="AH6" s="2"/>
      <c r="AI6" s="2"/>
      <c r="AJ6" s="2"/>
      <c r="AK6" s="2"/>
      <c r="AL6" s="2"/>
      <c r="AM6" s="2" t="s">
        <v>569</v>
      </c>
      <c r="AN6" s="2" t="s">
        <v>60</v>
      </c>
      <c r="AO6" s="2" t="s">
        <v>570</v>
      </c>
      <c r="AP6" s="2"/>
      <c r="AQ6" s="2" t="s">
        <v>49</v>
      </c>
    </row>
    <row r="7" spans="1:43" ht="84">
      <c r="A7" s="2" t="s">
        <v>17</v>
      </c>
      <c r="B7" s="2" t="s">
        <v>571</v>
      </c>
      <c r="C7" s="2" t="s">
        <v>545</v>
      </c>
      <c r="D7" s="2"/>
      <c r="E7" s="2" t="s">
        <v>51</v>
      </c>
      <c r="F7" s="2" t="s">
        <v>572</v>
      </c>
      <c r="G7" s="2" t="s">
        <v>573</v>
      </c>
      <c r="H7" s="2">
        <v>2</v>
      </c>
      <c r="I7" s="2" t="s">
        <v>574</v>
      </c>
      <c r="J7" s="2"/>
      <c r="K7" s="2"/>
      <c r="L7" s="2"/>
      <c r="M7" s="2"/>
      <c r="N7" s="2" t="s">
        <v>8</v>
      </c>
      <c r="O7" s="2" t="s">
        <v>549</v>
      </c>
      <c r="P7" s="2"/>
      <c r="Q7" s="2"/>
      <c r="R7" s="2"/>
      <c r="S7" s="2"/>
      <c r="T7" s="2" t="s">
        <v>550</v>
      </c>
      <c r="U7" s="2" t="s">
        <v>549</v>
      </c>
      <c r="V7" s="2"/>
      <c r="W7" s="2" t="s">
        <v>8</v>
      </c>
      <c r="X7" s="2" t="s">
        <v>8</v>
      </c>
      <c r="Y7" s="2" t="s">
        <v>8</v>
      </c>
      <c r="Z7" s="2" t="s">
        <v>8</v>
      </c>
      <c r="AA7" s="2" t="s">
        <v>549</v>
      </c>
      <c r="AB7" s="2" t="s">
        <v>8</v>
      </c>
      <c r="AC7" s="2"/>
      <c r="AD7" s="2" t="s">
        <v>8</v>
      </c>
      <c r="AE7" s="2" t="s">
        <v>550</v>
      </c>
      <c r="AF7" s="2" t="s">
        <v>551</v>
      </c>
      <c r="AG7" s="2" t="s">
        <v>8</v>
      </c>
      <c r="AH7" s="2"/>
      <c r="AI7" s="2"/>
      <c r="AJ7" s="2"/>
      <c r="AK7" s="2"/>
      <c r="AL7" s="2"/>
      <c r="AM7" s="2" t="s">
        <v>575</v>
      </c>
      <c r="AN7" s="2" t="s">
        <v>576</v>
      </c>
      <c r="AO7" s="2" t="s">
        <v>577</v>
      </c>
      <c r="AP7" s="2"/>
      <c r="AQ7" s="2" t="s">
        <v>49</v>
      </c>
    </row>
    <row r="8" spans="1:43" ht="126">
      <c r="A8" s="2" t="s">
        <v>17</v>
      </c>
      <c r="B8" s="2" t="s">
        <v>294</v>
      </c>
      <c r="C8" s="2" t="s">
        <v>545</v>
      </c>
      <c r="D8" s="2"/>
      <c r="E8" s="2" t="s">
        <v>118</v>
      </c>
      <c r="F8" s="2" t="s">
        <v>572</v>
      </c>
      <c r="G8" s="2" t="s">
        <v>578</v>
      </c>
      <c r="H8" s="2">
        <v>1</v>
      </c>
      <c r="I8" s="2" t="s">
        <v>579</v>
      </c>
      <c r="J8" s="2"/>
      <c r="K8" s="2"/>
      <c r="L8" s="2"/>
      <c r="M8" s="2"/>
      <c r="N8" s="2" t="s">
        <v>550</v>
      </c>
      <c r="O8" s="2" t="s">
        <v>549</v>
      </c>
      <c r="P8" s="2"/>
      <c r="Q8" s="2"/>
      <c r="R8" s="2"/>
      <c r="S8" s="2"/>
      <c r="T8" s="2" t="s">
        <v>550</v>
      </c>
      <c r="U8" s="2" t="s">
        <v>549</v>
      </c>
      <c r="V8" s="2"/>
      <c r="W8" s="2" t="s">
        <v>8</v>
      </c>
      <c r="X8" s="2" t="s">
        <v>580</v>
      </c>
      <c r="Y8" s="2" t="s">
        <v>8</v>
      </c>
      <c r="Z8" s="2" t="s">
        <v>8</v>
      </c>
      <c r="AA8" s="2" t="s">
        <v>549</v>
      </c>
      <c r="AB8" s="2" t="s">
        <v>8</v>
      </c>
      <c r="AC8" s="2"/>
      <c r="AD8" s="2" t="s">
        <v>8</v>
      </c>
      <c r="AE8" s="2" t="s">
        <v>550</v>
      </c>
      <c r="AF8" s="2" t="s">
        <v>551</v>
      </c>
      <c r="AG8" s="2" t="s">
        <v>581</v>
      </c>
      <c r="AH8" s="2"/>
      <c r="AI8" s="2"/>
      <c r="AJ8" s="2"/>
      <c r="AK8" s="2"/>
      <c r="AL8" s="2"/>
      <c r="AM8" s="2" t="s">
        <v>297</v>
      </c>
      <c r="AN8" s="2" t="s">
        <v>295</v>
      </c>
      <c r="AO8" s="2" t="s">
        <v>582</v>
      </c>
      <c r="AP8" s="2"/>
      <c r="AQ8" s="2" t="s">
        <v>49</v>
      </c>
    </row>
    <row r="9" spans="1:43" ht="98">
      <c r="A9" s="2" t="s">
        <v>17</v>
      </c>
      <c r="B9" s="2" t="s">
        <v>583</v>
      </c>
      <c r="C9" s="2" t="s">
        <v>545</v>
      </c>
      <c r="D9" s="2"/>
      <c r="E9" s="2" t="s">
        <v>118</v>
      </c>
      <c r="F9" s="2" t="s">
        <v>546</v>
      </c>
      <c r="G9" s="2" t="s">
        <v>584</v>
      </c>
      <c r="H9" s="2">
        <v>1</v>
      </c>
      <c r="I9" s="2" t="s">
        <v>585</v>
      </c>
      <c r="J9" s="2"/>
      <c r="K9" s="2"/>
      <c r="L9" s="2"/>
      <c r="M9" s="2"/>
      <c r="N9" s="2" t="s">
        <v>550</v>
      </c>
      <c r="O9" s="2" t="s">
        <v>549</v>
      </c>
      <c r="P9" s="2"/>
      <c r="Q9" s="2"/>
      <c r="R9" s="2"/>
      <c r="S9" s="2"/>
      <c r="T9" s="2" t="s">
        <v>550</v>
      </c>
      <c r="U9" s="2" t="s">
        <v>549</v>
      </c>
      <c r="V9" s="2"/>
      <c r="W9" s="2" t="s">
        <v>8</v>
      </c>
      <c r="X9" s="2" t="s">
        <v>8</v>
      </c>
      <c r="Y9" s="2" t="s">
        <v>8</v>
      </c>
      <c r="Z9" s="2" t="s">
        <v>8</v>
      </c>
      <c r="AA9" s="2" t="s">
        <v>549</v>
      </c>
      <c r="AB9" s="2" t="s">
        <v>8</v>
      </c>
      <c r="AC9" s="2"/>
      <c r="AD9" s="2" t="s">
        <v>8</v>
      </c>
      <c r="AE9" s="2" t="s">
        <v>550</v>
      </c>
      <c r="AF9" s="2" t="s">
        <v>551</v>
      </c>
      <c r="AG9" s="2" t="s">
        <v>8</v>
      </c>
      <c r="AH9" s="2"/>
      <c r="AI9" s="2"/>
      <c r="AJ9" s="2"/>
      <c r="AK9" s="2"/>
      <c r="AL9" s="2"/>
      <c r="AM9" s="2" t="s">
        <v>586</v>
      </c>
      <c r="AN9" s="2" t="s">
        <v>587</v>
      </c>
      <c r="AO9" s="2" t="s">
        <v>588</v>
      </c>
      <c r="AP9" s="2"/>
      <c r="AQ9" s="2" t="s">
        <v>49</v>
      </c>
    </row>
    <row r="10" spans="1:43" ht="126">
      <c r="A10" s="2" t="s">
        <v>17</v>
      </c>
      <c r="B10" s="2" t="s">
        <v>589</v>
      </c>
      <c r="C10" s="2" t="s">
        <v>545</v>
      </c>
      <c r="D10" s="2"/>
      <c r="E10" s="2" t="s">
        <v>590</v>
      </c>
      <c r="F10" s="2" t="s">
        <v>546</v>
      </c>
      <c r="G10" s="2" t="s">
        <v>591</v>
      </c>
      <c r="H10" s="2">
        <v>2</v>
      </c>
      <c r="I10" s="2" t="s">
        <v>592</v>
      </c>
      <c r="J10" s="2"/>
      <c r="K10" s="2"/>
      <c r="L10" s="2"/>
      <c r="M10" s="2"/>
      <c r="N10" s="2" t="s">
        <v>8</v>
      </c>
      <c r="O10" s="2" t="s">
        <v>549</v>
      </c>
      <c r="P10" s="2"/>
      <c r="Q10" s="2"/>
      <c r="R10" s="2"/>
      <c r="S10" s="2"/>
      <c r="T10" s="2" t="s">
        <v>8</v>
      </c>
      <c r="U10" s="2" t="s">
        <v>549</v>
      </c>
      <c r="V10" s="2"/>
      <c r="W10" s="2" t="s">
        <v>8</v>
      </c>
      <c r="X10" s="2" t="s">
        <v>550</v>
      </c>
      <c r="Y10" s="2" t="s">
        <v>8</v>
      </c>
      <c r="Z10" s="2" t="s">
        <v>8</v>
      </c>
      <c r="AA10" s="2" t="s">
        <v>549</v>
      </c>
      <c r="AB10" s="2" t="s">
        <v>8</v>
      </c>
      <c r="AC10" s="2"/>
      <c r="AD10" s="2" t="s">
        <v>550</v>
      </c>
      <c r="AE10" s="2" t="s">
        <v>550</v>
      </c>
      <c r="AF10" s="2" t="s">
        <v>551</v>
      </c>
      <c r="AG10" s="2" t="s">
        <v>8</v>
      </c>
      <c r="AH10" s="2"/>
      <c r="AI10" s="2"/>
      <c r="AJ10" s="2"/>
      <c r="AK10" s="2"/>
      <c r="AL10" s="2"/>
      <c r="AM10" s="2" t="s">
        <v>593</v>
      </c>
      <c r="AN10" s="2" t="s">
        <v>594</v>
      </c>
      <c r="AO10" s="2" t="s">
        <v>595</v>
      </c>
      <c r="AP10" s="2"/>
      <c r="AQ10" s="2" t="s">
        <v>49</v>
      </c>
    </row>
    <row r="11" spans="1:43" ht="154">
      <c r="A11" s="2" t="s">
        <v>17</v>
      </c>
      <c r="B11" s="2" t="s">
        <v>298</v>
      </c>
      <c r="C11" s="2" t="s">
        <v>545</v>
      </c>
      <c r="D11" s="2"/>
      <c r="E11" s="2" t="s">
        <v>51</v>
      </c>
      <c r="F11" s="2" t="s">
        <v>546</v>
      </c>
      <c r="G11" s="2" t="s">
        <v>596</v>
      </c>
      <c r="H11" s="2">
        <v>10</v>
      </c>
      <c r="I11" s="2" t="s">
        <v>597</v>
      </c>
      <c r="J11" s="2"/>
      <c r="K11" s="2"/>
      <c r="L11" s="2"/>
      <c r="M11" s="2"/>
      <c r="N11" s="2" t="s">
        <v>8</v>
      </c>
      <c r="O11" s="2" t="s">
        <v>549</v>
      </c>
      <c r="P11" s="2"/>
      <c r="Q11" s="2"/>
      <c r="R11" s="2"/>
      <c r="S11" s="2"/>
      <c r="T11" s="2" t="s">
        <v>550</v>
      </c>
      <c r="U11" s="2" t="s">
        <v>549</v>
      </c>
      <c r="V11" s="2"/>
      <c r="W11" s="2" t="s">
        <v>8</v>
      </c>
      <c r="X11" s="2" t="s">
        <v>550</v>
      </c>
      <c r="Y11" s="2" t="s">
        <v>8</v>
      </c>
      <c r="Z11" s="2" t="s">
        <v>8</v>
      </c>
      <c r="AA11" s="2" t="s">
        <v>549</v>
      </c>
      <c r="AB11" s="2" t="s">
        <v>8</v>
      </c>
      <c r="AC11" s="2"/>
      <c r="AD11" s="2" t="s">
        <v>550</v>
      </c>
      <c r="AE11" s="2" t="s">
        <v>549</v>
      </c>
      <c r="AF11" s="2" t="s">
        <v>551</v>
      </c>
      <c r="AG11" s="2" t="s">
        <v>581</v>
      </c>
      <c r="AH11" s="2"/>
      <c r="AI11" s="2"/>
      <c r="AJ11" s="2"/>
      <c r="AK11" s="2"/>
      <c r="AL11" s="2"/>
      <c r="AM11" s="2" t="s">
        <v>301</v>
      </c>
      <c r="AN11" s="2" t="s">
        <v>299</v>
      </c>
      <c r="AO11" s="2" t="s">
        <v>598</v>
      </c>
      <c r="AP11" s="2"/>
      <c r="AQ11" s="2" t="s">
        <v>49</v>
      </c>
    </row>
    <row r="12" spans="1:43" ht="154">
      <c r="A12" s="2" t="s">
        <v>17</v>
      </c>
      <c r="B12" s="2" t="s">
        <v>302</v>
      </c>
      <c r="C12" s="2" t="s">
        <v>545</v>
      </c>
      <c r="D12" s="2"/>
      <c r="E12" s="2" t="s">
        <v>42</v>
      </c>
      <c r="F12" s="2" t="s">
        <v>546</v>
      </c>
      <c r="G12" s="2" t="s">
        <v>599</v>
      </c>
      <c r="H12" s="2">
        <v>1</v>
      </c>
      <c r="I12" s="2" t="s">
        <v>600</v>
      </c>
      <c r="J12" s="2"/>
      <c r="K12" s="2"/>
      <c r="L12" s="2"/>
      <c r="M12" s="2"/>
      <c r="N12" s="2" t="s">
        <v>8</v>
      </c>
      <c r="O12" s="2" t="s">
        <v>549</v>
      </c>
      <c r="P12" s="2"/>
      <c r="Q12" s="2"/>
      <c r="R12" s="2"/>
      <c r="S12" s="2"/>
      <c r="T12" s="2" t="s">
        <v>8</v>
      </c>
      <c r="U12" s="2" t="s">
        <v>549</v>
      </c>
      <c r="V12" s="2"/>
      <c r="W12" s="2" t="s">
        <v>8</v>
      </c>
      <c r="X12" s="2" t="s">
        <v>8</v>
      </c>
      <c r="Y12" s="2" t="s">
        <v>8</v>
      </c>
      <c r="Z12" s="2" t="s">
        <v>8</v>
      </c>
      <c r="AA12" s="2" t="s">
        <v>549</v>
      </c>
      <c r="AB12" s="2" t="s">
        <v>8</v>
      </c>
      <c r="AC12" s="2"/>
      <c r="AD12" s="2" t="s">
        <v>8</v>
      </c>
      <c r="AE12" s="2" t="s">
        <v>550</v>
      </c>
      <c r="AF12" s="2" t="s">
        <v>549</v>
      </c>
      <c r="AG12" s="2" t="s">
        <v>581</v>
      </c>
      <c r="AH12" s="2"/>
      <c r="AI12" s="2"/>
      <c r="AJ12" s="2"/>
      <c r="AK12" s="2"/>
      <c r="AL12" s="2"/>
      <c r="AM12" s="2" t="s">
        <v>305</v>
      </c>
      <c r="AN12" s="2" t="s">
        <v>303</v>
      </c>
      <c r="AO12" s="2" t="s">
        <v>601</v>
      </c>
      <c r="AP12" s="2"/>
      <c r="AQ12" s="2" t="s">
        <v>49</v>
      </c>
    </row>
    <row r="13" spans="1:43" ht="112">
      <c r="A13" s="2" t="s">
        <v>17</v>
      </c>
      <c r="B13" s="2" t="s">
        <v>602</v>
      </c>
      <c r="C13" s="2" t="s">
        <v>545</v>
      </c>
      <c r="D13" s="2"/>
      <c r="E13" s="2" t="s">
        <v>51</v>
      </c>
      <c r="F13" s="2" t="s">
        <v>562</v>
      </c>
      <c r="G13" s="2" t="s">
        <v>603</v>
      </c>
      <c r="H13" s="2">
        <v>4</v>
      </c>
      <c r="I13" s="2" t="s">
        <v>604</v>
      </c>
      <c r="J13" s="2"/>
      <c r="K13" s="2"/>
      <c r="L13" s="2"/>
      <c r="M13" s="2"/>
      <c r="N13" s="2" t="s">
        <v>8</v>
      </c>
      <c r="O13" s="2" t="s">
        <v>549</v>
      </c>
      <c r="P13" s="2"/>
      <c r="Q13" s="2"/>
      <c r="R13" s="2"/>
      <c r="S13" s="2"/>
      <c r="T13" s="2" t="s">
        <v>550</v>
      </c>
      <c r="U13" s="2" t="s">
        <v>549</v>
      </c>
      <c r="V13" s="2"/>
      <c r="W13" s="2" t="s">
        <v>8</v>
      </c>
      <c r="X13" s="2" t="s">
        <v>550</v>
      </c>
      <c r="Y13" s="2" t="s">
        <v>8</v>
      </c>
      <c r="Z13" s="2" t="s">
        <v>8</v>
      </c>
      <c r="AA13" s="2" t="s">
        <v>549</v>
      </c>
      <c r="AB13" s="2" t="s">
        <v>8</v>
      </c>
      <c r="AC13" s="2"/>
      <c r="AD13" s="2" t="s">
        <v>8</v>
      </c>
      <c r="AE13" s="2" t="s">
        <v>550</v>
      </c>
      <c r="AF13" s="2" t="s">
        <v>551</v>
      </c>
      <c r="AG13" s="2" t="s">
        <v>8</v>
      </c>
      <c r="AH13" s="2"/>
      <c r="AI13" s="2"/>
      <c r="AJ13" s="2"/>
      <c r="AK13" s="2"/>
      <c r="AL13" s="2"/>
      <c r="AM13" s="2" t="s">
        <v>605</v>
      </c>
      <c r="AN13" s="2" t="s">
        <v>606</v>
      </c>
      <c r="AO13" s="2" t="s">
        <v>607</v>
      </c>
      <c r="AP13" s="2"/>
      <c r="AQ13" s="2" t="s">
        <v>49</v>
      </c>
    </row>
    <row r="14" spans="1:43" ht="168">
      <c r="A14" s="2" t="s">
        <v>17</v>
      </c>
      <c r="B14" s="2" t="s">
        <v>63</v>
      </c>
      <c r="C14" s="2" t="s">
        <v>545</v>
      </c>
      <c r="D14" s="2"/>
      <c r="E14" s="2" t="s">
        <v>51</v>
      </c>
      <c r="F14" s="2" t="s">
        <v>572</v>
      </c>
      <c r="G14" s="2" t="s">
        <v>65</v>
      </c>
      <c r="H14" s="2">
        <v>2</v>
      </c>
      <c r="I14" s="2" t="s">
        <v>608</v>
      </c>
      <c r="J14" s="2"/>
      <c r="K14" s="2"/>
      <c r="L14" s="2"/>
      <c r="M14" s="2"/>
      <c r="N14" s="2" t="s">
        <v>580</v>
      </c>
      <c r="O14" s="2" t="s">
        <v>549</v>
      </c>
      <c r="P14" s="2"/>
      <c r="Q14" s="2"/>
      <c r="R14" s="2"/>
      <c r="S14" s="2"/>
      <c r="T14" s="2" t="s">
        <v>10</v>
      </c>
      <c r="U14" s="2" t="s">
        <v>549</v>
      </c>
      <c r="V14" s="2"/>
      <c r="W14" s="2" t="s">
        <v>8</v>
      </c>
      <c r="X14" s="2" t="s">
        <v>550</v>
      </c>
      <c r="Y14" s="2" t="s">
        <v>8</v>
      </c>
      <c r="Z14" s="2" t="s">
        <v>10</v>
      </c>
      <c r="AA14" s="2" t="s">
        <v>551</v>
      </c>
      <c r="AB14" s="2" t="s">
        <v>10</v>
      </c>
      <c r="AC14" s="2"/>
      <c r="AD14" s="2" t="s">
        <v>550</v>
      </c>
      <c r="AE14" s="2" t="s">
        <v>550</v>
      </c>
      <c r="AF14" s="2" t="s">
        <v>551</v>
      </c>
      <c r="AG14" s="2" t="s">
        <v>10</v>
      </c>
      <c r="AH14" s="2"/>
      <c r="AI14" s="2"/>
      <c r="AJ14" s="2"/>
      <c r="AK14" s="2"/>
      <c r="AL14" s="2"/>
      <c r="AM14" s="2" t="s">
        <v>609</v>
      </c>
      <c r="AN14" s="2" t="s">
        <v>66</v>
      </c>
      <c r="AO14" s="2" t="s">
        <v>610</v>
      </c>
      <c r="AP14" s="2"/>
      <c r="AQ14" s="2" t="s">
        <v>49</v>
      </c>
    </row>
    <row r="15" spans="1:43" ht="182">
      <c r="A15" s="2" t="s">
        <v>17</v>
      </c>
      <c r="B15" s="2" t="s">
        <v>69</v>
      </c>
      <c r="C15" s="2" t="s">
        <v>545</v>
      </c>
      <c r="D15" s="2"/>
      <c r="E15" s="2" t="s">
        <v>51</v>
      </c>
      <c r="F15" s="2" t="s">
        <v>562</v>
      </c>
      <c r="G15" s="2" t="s">
        <v>71</v>
      </c>
      <c r="H15" s="2">
        <v>2</v>
      </c>
      <c r="I15" s="2" t="s">
        <v>611</v>
      </c>
      <c r="J15" s="2"/>
      <c r="K15" s="2"/>
      <c r="L15" s="2"/>
      <c r="M15" s="2"/>
      <c r="N15" s="2" t="s">
        <v>10</v>
      </c>
      <c r="O15" s="2" t="s">
        <v>549</v>
      </c>
      <c r="P15" s="2"/>
      <c r="Q15" s="2"/>
      <c r="R15" s="2"/>
      <c r="S15" s="2"/>
      <c r="T15" s="2" t="s">
        <v>10</v>
      </c>
      <c r="U15" s="2" t="s">
        <v>549</v>
      </c>
      <c r="V15" s="2"/>
      <c r="W15" s="2" t="s">
        <v>10</v>
      </c>
      <c r="X15" s="2" t="s">
        <v>550</v>
      </c>
      <c r="Y15" s="2" t="s">
        <v>580</v>
      </c>
      <c r="Z15" s="2" t="s">
        <v>10</v>
      </c>
      <c r="AA15" s="2" t="s">
        <v>551</v>
      </c>
      <c r="AB15" s="2" t="s">
        <v>10</v>
      </c>
      <c r="AC15" s="2"/>
      <c r="AD15" s="2" t="s">
        <v>550</v>
      </c>
      <c r="AE15" s="2" t="s">
        <v>550</v>
      </c>
      <c r="AF15" s="2" t="s">
        <v>551</v>
      </c>
      <c r="AG15" s="2" t="s">
        <v>10</v>
      </c>
      <c r="AH15" s="2"/>
      <c r="AI15" s="2"/>
      <c r="AJ15" s="2"/>
      <c r="AK15" s="2"/>
      <c r="AL15" s="2"/>
      <c r="AM15" s="2" t="s">
        <v>612</v>
      </c>
      <c r="AN15" s="2" t="s">
        <v>72</v>
      </c>
      <c r="AO15" s="2" t="s">
        <v>613</v>
      </c>
      <c r="AP15" s="2"/>
      <c r="AQ15" s="2" t="s">
        <v>49</v>
      </c>
    </row>
    <row r="16" spans="1:43" ht="84">
      <c r="A16" s="2" t="s">
        <v>17</v>
      </c>
      <c r="B16" s="2" t="s">
        <v>614</v>
      </c>
      <c r="C16" s="2" t="s">
        <v>545</v>
      </c>
      <c r="D16" s="2"/>
      <c r="E16" s="2" t="s">
        <v>42</v>
      </c>
      <c r="F16" s="2" t="s">
        <v>546</v>
      </c>
      <c r="G16" s="2" t="s">
        <v>615</v>
      </c>
      <c r="H16" s="2">
        <v>10</v>
      </c>
      <c r="I16" s="2" t="s">
        <v>616</v>
      </c>
      <c r="J16" s="2"/>
      <c r="K16" s="2"/>
      <c r="L16" s="2"/>
      <c r="M16" s="2"/>
      <c r="N16" s="2" t="s">
        <v>8</v>
      </c>
      <c r="O16" s="2" t="s">
        <v>549</v>
      </c>
      <c r="P16" s="2"/>
      <c r="Q16" s="2"/>
      <c r="R16" s="2"/>
      <c r="S16" s="2"/>
      <c r="T16" s="2" t="s">
        <v>550</v>
      </c>
      <c r="U16" s="2" t="s">
        <v>549</v>
      </c>
      <c r="V16" s="2"/>
      <c r="W16" s="2" t="s">
        <v>8</v>
      </c>
      <c r="X16" s="2" t="s">
        <v>8</v>
      </c>
      <c r="Y16" s="2" t="s">
        <v>8</v>
      </c>
      <c r="Z16" s="2" t="s">
        <v>8</v>
      </c>
      <c r="AA16" s="2" t="s">
        <v>549</v>
      </c>
      <c r="AB16" s="2" t="s">
        <v>8</v>
      </c>
      <c r="AC16" s="2"/>
      <c r="AD16" s="2" t="s">
        <v>8</v>
      </c>
      <c r="AE16" s="2" t="s">
        <v>550</v>
      </c>
      <c r="AF16" s="2" t="s">
        <v>551</v>
      </c>
      <c r="AG16" s="2" t="s">
        <v>8</v>
      </c>
      <c r="AH16" s="2"/>
      <c r="AI16" s="2"/>
      <c r="AJ16" s="2"/>
      <c r="AK16" s="2"/>
      <c r="AL16" s="2"/>
      <c r="AM16" s="2" t="s">
        <v>617</v>
      </c>
      <c r="AN16" s="2" t="s">
        <v>618</v>
      </c>
      <c r="AO16" s="2" t="s">
        <v>619</v>
      </c>
      <c r="AP16" s="2"/>
      <c r="AQ16" s="2" t="s">
        <v>49</v>
      </c>
    </row>
    <row r="17" spans="1:43" ht="112">
      <c r="A17" s="2" t="s">
        <v>17</v>
      </c>
      <c r="B17" s="2" t="s">
        <v>306</v>
      </c>
      <c r="C17" s="2" t="s">
        <v>545</v>
      </c>
      <c r="D17" s="2"/>
      <c r="E17" s="2" t="s">
        <v>42</v>
      </c>
      <c r="F17" s="2" t="s">
        <v>546</v>
      </c>
      <c r="G17" s="2" t="s">
        <v>620</v>
      </c>
      <c r="H17" s="2">
        <v>10</v>
      </c>
      <c r="I17" s="2" t="s">
        <v>621</v>
      </c>
      <c r="J17" s="2"/>
      <c r="K17" s="2"/>
      <c r="L17" s="2"/>
      <c r="M17" s="2"/>
      <c r="N17" s="2" t="s">
        <v>8</v>
      </c>
      <c r="O17" s="2" t="s">
        <v>549</v>
      </c>
      <c r="P17" s="2"/>
      <c r="Q17" s="2"/>
      <c r="R17" s="2"/>
      <c r="S17" s="2"/>
      <c r="T17" s="2" t="s">
        <v>8</v>
      </c>
      <c r="U17" s="2" t="s">
        <v>549</v>
      </c>
      <c r="V17" s="2"/>
      <c r="W17" s="2" t="s">
        <v>8</v>
      </c>
      <c r="X17" s="2" t="s">
        <v>8</v>
      </c>
      <c r="Y17" s="2" t="s">
        <v>8</v>
      </c>
      <c r="Z17" s="2" t="s">
        <v>8</v>
      </c>
      <c r="AA17" s="2" t="s">
        <v>549</v>
      </c>
      <c r="AB17" s="2" t="s">
        <v>8</v>
      </c>
      <c r="AC17" s="2"/>
      <c r="AD17" s="2" t="s">
        <v>8</v>
      </c>
      <c r="AE17" s="2" t="s">
        <v>549</v>
      </c>
      <c r="AF17" s="2" t="s">
        <v>551</v>
      </c>
      <c r="AG17" s="2" t="s">
        <v>581</v>
      </c>
      <c r="AH17" s="2"/>
      <c r="AI17" s="2"/>
      <c r="AJ17" s="2"/>
      <c r="AK17" s="2"/>
      <c r="AL17" s="2"/>
      <c r="AM17" s="2" t="s">
        <v>308</v>
      </c>
      <c r="AN17" s="2" t="s">
        <v>307</v>
      </c>
      <c r="AO17" s="2" t="s">
        <v>622</v>
      </c>
      <c r="AP17" s="2"/>
      <c r="AQ17" s="2" t="s">
        <v>49</v>
      </c>
    </row>
    <row r="18" spans="1:43" ht="98">
      <c r="A18" s="2" t="s">
        <v>17</v>
      </c>
      <c r="B18" s="2" t="s">
        <v>623</v>
      </c>
      <c r="C18" s="2" t="s">
        <v>545</v>
      </c>
      <c r="D18" s="2"/>
      <c r="E18" s="2" t="s">
        <v>42</v>
      </c>
      <c r="F18" s="2" t="s">
        <v>546</v>
      </c>
      <c r="G18" s="2" t="s">
        <v>624</v>
      </c>
      <c r="H18" s="2">
        <v>1</v>
      </c>
      <c r="I18" s="2" t="s">
        <v>625</v>
      </c>
      <c r="J18" s="2"/>
      <c r="K18" s="2"/>
      <c r="L18" s="2"/>
      <c r="M18" s="2"/>
      <c r="N18" s="2" t="s">
        <v>8</v>
      </c>
      <c r="O18" s="2" t="s">
        <v>549</v>
      </c>
      <c r="P18" s="2"/>
      <c r="Q18" s="2"/>
      <c r="R18" s="2"/>
      <c r="S18" s="2"/>
      <c r="T18" s="2" t="s">
        <v>550</v>
      </c>
      <c r="U18" s="2" t="s">
        <v>549</v>
      </c>
      <c r="V18" s="2"/>
      <c r="W18" s="2" t="s">
        <v>8</v>
      </c>
      <c r="X18" s="2" t="s">
        <v>8</v>
      </c>
      <c r="Y18" s="2" t="s">
        <v>8</v>
      </c>
      <c r="Z18" s="2" t="s">
        <v>8</v>
      </c>
      <c r="AA18" s="2" t="s">
        <v>549</v>
      </c>
      <c r="AB18" s="2" t="s">
        <v>8</v>
      </c>
      <c r="AC18" s="2"/>
      <c r="AD18" s="2" t="s">
        <v>8</v>
      </c>
      <c r="AE18" s="2" t="s">
        <v>550</v>
      </c>
      <c r="AF18" s="2" t="s">
        <v>551</v>
      </c>
      <c r="AG18" s="2" t="s">
        <v>8</v>
      </c>
      <c r="AH18" s="2"/>
      <c r="AI18" s="2"/>
      <c r="AJ18" s="2"/>
      <c r="AK18" s="2"/>
      <c r="AL18" s="2"/>
      <c r="AM18" s="2" t="s">
        <v>626</v>
      </c>
      <c r="AN18" s="2" t="s">
        <v>627</v>
      </c>
      <c r="AO18" s="2" t="s">
        <v>628</v>
      </c>
      <c r="AP18" s="2"/>
      <c r="AQ18" s="2" t="s">
        <v>49</v>
      </c>
    </row>
    <row r="19" spans="1:43" ht="168">
      <c r="A19" s="2" t="s">
        <v>17</v>
      </c>
      <c r="B19" s="2" t="s">
        <v>75</v>
      </c>
      <c r="C19" s="2" t="s">
        <v>545</v>
      </c>
      <c r="D19" s="2"/>
      <c r="E19" s="2" t="s">
        <v>42</v>
      </c>
      <c r="F19" s="2" t="s">
        <v>546</v>
      </c>
      <c r="G19" s="2" t="s">
        <v>77</v>
      </c>
      <c r="H19" s="2">
        <v>10</v>
      </c>
      <c r="I19" s="2" t="s">
        <v>629</v>
      </c>
      <c r="J19" s="2"/>
      <c r="K19" s="2"/>
      <c r="L19" s="2"/>
      <c r="M19" s="2"/>
      <c r="N19" s="2" t="s">
        <v>8</v>
      </c>
      <c r="O19" s="2" t="s">
        <v>549</v>
      </c>
      <c r="P19" s="2"/>
      <c r="Q19" s="2"/>
      <c r="R19" s="2"/>
      <c r="S19" s="2"/>
      <c r="T19" s="2" t="s">
        <v>10</v>
      </c>
      <c r="U19" s="2" t="s">
        <v>549</v>
      </c>
      <c r="V19" s="2"/>
      <c r="W19" s="2" t="s">
        <v>8</v>
      </c>
      <c r="X19" s="2" t="s">
        <v>8</v>
      </c>
      <c r="Y19" s="2" t="s">
        <v>10</v>
      </c>
      <c r="Z19" s="2" t="s">
        <v>10</v>
      </c>
      <c r="AA19" s="2" t="s">
        <v>551</v>
      </c>
      <c r="AB19" s="2" t="s">
        <v>10</v>
      </c>
      <c r="AC19" s="2"/>
      <c r="AD19" s="2" t="s">
        <v>10</v>
      </c>
      <c r="AE19" s="2" t="s">
        <v>549</v>
      </c>
      <c r="AF19" s="2" t="s">
        <v>549</v>
      </c>
      <c r="AG19" s="2" t="s">
        <v>10</v>
      </c>
      <c r="AH19" s="2"/>
      <c r="AI19" s="2"/>
      <c r="AJ19" s="2"/>
      <c r="AK19" s="2"/>
      <c r="AL19" s="2"/>
      <c r="AM19" s="2" t="s">
        <v>630</v>
      </c>
      <c r="AN19" s="2" t="s">
        <v>78</v>
      </c>
      <c r="AO19" s="2" t="s">
        <v>631</v>
      </c>
      <c r="AP19" s="2"/>
      <c r="AQ19" s="2" t="s">
        <v>49</v>
      </c>
    </row>
    <row r="20" spans="1:43" ht="112">
      <c r="A20" s="2" t="s">
        <v>17</v>
      </c>
      <c r="B20" s="2" t="s">
        <v>81</v>
      </c>
      <c r="C20" s="2" t="s">
        <v>545</v>
      </c>
      <c r="D20" s="2"/>
      <c r="E20" s="2" t="s">
        <v>51</v>
      </c>
      <c r="F20" s="2" t="s">
        <v>562</v>
      </c>
      <c r="G20" s="2" t="s">
        <v>83</v>
      </c>
      <c r="H20" s="2">
        <v>7</v>
      </c>
      <c r="I20" s="2" t="s">
        <v>632</v>
      </c>
      <c r="J20" s="2"/>
      <c r="K20" s="2"/>
      <c r="L20" s="2"/>
      <c r="M20" s="2"/>
      <c r="N20" s="2" t="s">
        <v>8</v>
      </c>
      <c r="O20" s="2" t="s">
        <v>549</v>
      </c>
      <c r="P20" s="2"/>
      <c r="Q20" s="2"/>
      <c r="R20" s="2"/>
      <c r="S20" s="2"/>
      <c r="T20" s="2" t="s">
        <v>550</v>
      </c>
      <c r="U20" s="2" t="s">
        <v>549</v>
      </c>
      <c r="V20" s="2"/>
      <c r="W20" s="2" t="s">
        <v>8</v>
      </c>
      <c r="X20" s="2" t="s">
        <v>8</v>
      </c>
      <c r="Y20" s="2" t="s">
        <v>8</v>
      </c>
      <c r="Z20" s="2" t="s">
        <v>10</v>
      </c>
      <c r="AA20" s="2" t="s">
        <v>551</v>
      </c>
      <c r="AB20" s="2" t="s">
        <v>10</v>
      </c>
      <c r="AC20" s="2"/>
      <c r="AD20" s="2" t="s">
        <v>10</v>
      </c>
      <c r="AE20" s="2" t="s">
        <v>550</v>
      </c>
      <c r="AF20" s="2" t="s">
        <v>551</v>
      </c>
      <c r="AG20" s="2" t="s">
        <v>10</v>
      </c>
      <c r="AH20" s="2"/>
      <c r="AI20" s="2"/>
      <c r="AJ20" s="2"/>
      <c r="AK20" s="2"/>
      <c r="AL20" s="2"/>
      <c r="AM20" s="2" t="s">
        <v>633</v>
      </c>
      <c r="AN20" s="2" t="s">
        <v>84</v>
      </c>
      <c r="AO20" s="2" t="s">
        <v>634</v>
      </c>
      <c r="AP20" s="2"/>
      <c r="AQ20" s="2" t="s">
        <v>49</v>
      </c>
    </row>
    <row r="21" spans="1:43" ht="112">
      <c r="A21" s="2" t="s">
        <v>17</v>
      </c>
      <c r="B21" s="2" t="s">
        <v>87</v>
      </c>
      <c r="C21" s="2" t="s">
        <v>545</v>
      </c>
      <c r="D21" s="2"/>
      <c r="E21" s="2" t="s">
        <v>51</v>
      </c>
      <c r="F21" s="2" t="s">
        <v>572</v>
      </c>
      <c r="G21" s="2" t="s">
        <v>89</v>
      </c>
      <c r="H21" s="2">
        <v>1</v>
      </c>
      <c r="I21" s="2" t="s">
        <v>635</v>
      </c>
      <c r="J21" s="2"/>
      <c r="K21" s="2"/>
      <c r="L21" s="2"/>
      <c r="M21" s="2"/>
      <c r="N21" s="2" t="s">
        <v>8</v>
      </c>
      <c r="O21" s="2" t="s">
        <v>549</v>
      </c>
      <c r="P21" s="2"/>
      <c r="Q21" s="2"/>
      <c r="R21" s="2"/>
      <c r="S21" s="2"/>
      <c r="T21" s="2" t="s">
        <v>550</v>
      </c>
      <c r="U21" s="2" t="s">
        <v>549</v>
      </c>
      <c r="V21" s="2"/>
      <c r="W21" s="2" t="s">
        <v>8</v>
      </c>
      <c r="X21" s="2" t="s">
        <v>8</v>
      </c>
      <c r="Y21" s="2" t="s">
        <v>10</v>
      </c>
      <c r="Z21" s="2" t="s">
        <v>10</v>
      </c>
      <c r="AA21" s="2" t="s">
        <v>551</v>
      </c>
      <c r="AB21" s="2" t="s">
        <v>10</v>
      </c>
      <c r="AC21" s="2"/>
      <c r="AD21" s="2" t="s">
        <v>8</v>
      </c>
      <c r="AE21" s="2" t="s">
        <v>549</v>
      </c>
      <c r="AF21" s="2" t="s">
        <v>551</v>
      </c>
      <c r="AG21" s="2" t="s">
        <v>10</v>
      </c>
      <c r="AH21" s="2"/>
      <c r="AI21" s="2"/>
      <c r="AJ21" s="2"/>
      <c r="AK21" s="2"/>
      <c r="AL21" s="2"/>
      <c r="AM21" s="2" t="s">
        <v>636</v>
      </c>
      <c r="AN21" s="2" t="s">
        <v>90</v>
      </c>
      <c r="AO21" s="2" t="s">
        <v>637</v>
      </c>
      <c r="AP21" s="2"/>
      <c r="AQ21" s="2" t="s">
        <v>49</v>
      </c>
    </row>
    <row r="22" spans="1:43" ht="112">
      <c r="A22" s="2" t="s">
        <v>17</v>
      </c>
      <c r="B22" s="2" t="s">
        <v>93</v>
      </c>
      <c r="C22" s="2" t="s">
        <v>545</v>
      </c>
      <c r="D22" s="2"/>
      <c r="E22" s="2" t="s">
        <v>51</v>
      </c>
      <c r="F22" s="2" t="s">
        <v>562</v>
      </c>
      <c r="G22" s="2" t="s">
        <v>95</v>
      </c>
      <c r="H22" s="2">
        <v>27</v>
      </c>
      <c r="I22" s="2" t="s">
        <v>638</v>
      </c>
      <c r="J22" s="2"/>
      <c r="K22" s="2"/>
      <c r="L22" s="2"/>
      <c r="M22" s="2"/>
      <c r="N22" s="2" t="s">
        <v>8</v>
      </c>
      <c r="O22" s="2" t="s">
        <v>549</v>
      </c>
      <c r="P22" s="2"/>
      <c r="Q22" s="2"/>
      <c r="R22" s="2"/>
      <c r="S22" s="2"/>
      <c r="T22" s="2" t="s">
        <v>550</v>
      </c>
      <c r="U22" s="2" t="s">
        <v>549</v>
      </c>
      <c r="V22" s="2"/>
      <c r="W22" s="2" t="s">
        <v>8</v>
      </c>
      <c r="X22" s="2" t="s">
        <v>8</v>
      </c>
      <c r="Y22" s="2" t="s">
        <v>10</v>
      </c>
      <c r="Z22" s="2" t="s">
        <v>10</v>
      </c>
      <c r="AA22" s="2" t="s">
        <v>551</v>
      </c>
      <c r="AB22" s="2" t="s">
        <v>10</v>
      </c>
      <c r="AC22" s="2"/>
      <c r="AD22" s="2" t="s">
        <v>10</v>
      </c>
      <c r="AE22" s="2" t="s">
        <v>549</v>
      </c>
      <c r="AF22" s="2" t="s">
        <v>551</v>
      </c>
      <c r="AG22" s="2" t="s">
        <v>10</v>
      </c>
      <c r="AH22" s="2"/>
      <c r="AI22" s="2"/>
      <c r="AJ22" s="2"/>
      <c r="AK22" s="2"/>
      <c r="AL22" s="2"/>
      <c r="AM22" s="2" t="s">
        <v>639</v>
      </c>
      <c r="AN22" s="2" t="s">
        <v>96</v>
      </c>
      <c r="AO22" s="2" t="s">
        <v>640</v>
      </c>
      <c r="AP22" s="2"/>
      <c r="AQ22" s="2" t="s">
        <v>49</v>
      </c>
    </row>
    <row r="23" spans="1:43" ht="112">
      <c r="A23" s="2" t="s">
        <v>17</v>
      </c>
      <c r="B23" s="2" t="s">
        <v>99</v>
      </c>
      <c r="C23" s="2" t="s">
        <v>545</v>
      </c>
      <c r="D23" s="2"/>
      <c r="E23" s="2" t="s">
        <v>51</v>
      </c>
      <c r="F23" s="2" t="s">
        <v>572</v>
      </c>
      <c r="G23" s="2" t="s">
        <v>101</v>
      </c>
      <c r="H23" s="2">
        <v>111</v>
      </c>
      <c r="I23" s="2" t="s">
        <v>641</v>
      </c>
      <c r="J23" s="2"/>
      <c r="K23" s="2"/>
      <c r="L23" s="2"/>
      <c r="M23" s="2"/>
      <c r="N23" s="2" t="s">
        <v>8</v>
      </c>
      <c r="O23" s="2" t="s">
        <v>549</v>
      </c>
      <c r="P23" s="2"/>
      <c r="Q23" s="2"/>
      <c r="R23" s="2"/>
      <c r="S23" s="2"/>
      <c r="T23" s="2" t="s">
        <v>550</v>
      </c>
      <c r="U23" s="2" t="s">
        <v>549</v>
      </c>
      <c r="V23" s="2"/>
      <c r="W23" s="2" t="s">
        <v>8</v>
      </c>
      <c r="X23" s="2" t="s">
        <v>8</v>
      </c>
      <c r="Y23" s="2" t="s">
        <v>10</v>
      </c>
      <c r="Z23" s="2" t="s">
        <v>10</v>
      </c>
      <c r="AA23" s="2" t="s">
        <v>551</v>
      </c>
      <c r="AB23" s="2" t="s">
        <v>10</v>
      </c>
      <c r="AC23" s="2"/>
      <c r="AD23" s="2" t="s">
        <v>8</v>
      </c>
      <c r="AE23" s="2" t="s">
        <v>549</v>
      </c>
      <c r="AF23" s="2" t="s">
        <v>551</v>
      </c>
      <c r="AG23" s="2" t="s">
        <v>10</v>
      </c>
      <c r="AH23" s="2"/>
      <c r="AI23" s="2"/>
      <c r="AJ23" s="2"/>
      <c r="AK23" s="2"/>
      <c r="AL23" s="2"/>
      <c r="AM23" s="2" t="s">
        <v>642</v>
      </c>
      <c r="AN23" s="2" t="s">
        <v>102</v>
      </c>
      <c r="AO23" s="2" t="s">
        <v>643</v>
      </c>
      <c r="AP23" s="2"/>
      <c r="AQ23" s="2" t="s">
        <v>49</v>
      </c>
    </row>
    <row r="24" spans="1:43" ht="126">
      <c r="A24" s="2" t="s">
        <v>17</v>
      </c>
      <c r="B24" s="2" t="s">
        <v>105</v>
      </c>
      <c r="C24" s="2" t="s">
        <v>545</v>
      </c>
      <c r="D24" s="2"/>
      <c r="E24" s="2" t="s">
        <v>42</v>
      </c>
      <c r="F24" s="2" t="s">
        <v>562</v>
      </c>
      <c r="G24" s="2" t="s">
        <v>107</v>
      </c>
      <c r="H24" s="2">
        <v>2</v>
      </c>
      <c r="I24" s="2" t="s">
        <v>644</v>
      </c>
      <c r="J24" s="2"/>
      <c r="K24" s="2"/>
      <c r="L24" s="2"/>
      <c r="M24" s="2"/>
      <c r="N24" s="2" t="s">
        <v>8</v>
      </c>
      <c r="O24" s="2" t="s">
        <v>549</v>
      </c>
      <c r="P24" s="2"/>
      <c r="Q24" s="2"/>
      <c r="R24" s="2"/>
      <c r="S24" s="2"/>
      <c r="T24" s="2" t="s">
        <v>550</v>
      </c>
      <c r="U24" s="2" t="s">
        <v>549</v>
      </c>
      <c r="V24" s="2"/>
      <c r="W24" s="2" t="s">
        <v>8</v>
      </c>
      <c r="X24" s="2" t="s">
        <v>8</v>
      </c>
      <c r="Y24" s="2" t="s">
        <v>10</v>
      </c>
      <c r="Z24" s="2" t="s">
        <v>10</v>
      </c>
      <c r="AA24" s="2" t="s">
        <v>551</v>
      </c>
      <c r="AB24" s="2" t="s">
        <v>10</v>
      </c>
      <c r="AC24" s="2"/>
      <c r="AD24" s="2" t="s">
        <v>8</v>
      </c>
      <c r="AE24" s="2" t="s">
        <v>549</v>
      </c>
      <c r="AF24" s="2" t="s">
        <v>551</v>
      </c>
      <c r="AG24" s="2" t="s">
        <v>10</v>
      </c>
      <c r="AH24" s="2"/>
      <c r="AI24" s="2"/>
      <c r="AJ24" s="2"/>
      <c r="AK24" s="2"/>
      <c r="AL24" s="2"/>
      <c r="AM24" s="2" t="s">
        <v>645</v>
      </c>
      <c r="AN24" s="2" t="s">
        <v>108</v>
      </c>
      <c r="AO24" s="2" t="s">
        <v>646</v>
      </c>
      <c r="AP24" s="2"/>
      <c r="AQ24" s="2" t="s">
        <v>49</v>
      </c>
    </row>
    <row r="25" spans="1:43" ht="126">
      <c r="A25" s="2" t="s">
        <v>17</v>
      </c>
      <c r="B25" s="2" t="s">
        <v>111</v>
      </c>
      <c r="C25" s="2" t="s">
        <v>545</v>
      </c>
      <c r="D25" s="2"/>
      <c r="E25" s="2" t="s">
        <v>42</v>
      </c>
      <c r="F25" s="2" t="s">
        <v>562</v>
      </c>
      <c r="G25" s="2" t="s">
        <v>113</v>
      </c>
      <c r="H25" s="2">
        <v>15</v>
      </c>
      <c r="I25" s="2" t="s">
        <v>647</v>
      </c>
      <c r="J25" s="2"/>
      <c r="K25" s="2"/>
      <c r="L25" s="2"/>
      <c r="M25" s="2"/>
      <c r="N25" s="2" t="s">
        <v>8</v>
      </c>
      <c r="O25" s="2" t="s">
        <v>549</v>
      </c>
      <c r="P25" s="2"/>
      <c r="Q25" s="2"/>
      <c r="R25" s="2"/>
      <c r="S25" s="2"/>
      <c r="T25" s="2" t="s">
        <v>580</v>
      </c>
      <c r="U25" s="2" t="s">
        <v>549</v>
      </c>
      <c r="V25" s="2"/>
      <c r="W25" s="2" t="s">
        <v>8</v>
      </c>
      <c r="X25" s="2" t="s">
        <v>8</v>
      </c>
      <c r="Y25" s="2" t="s">
        <v>10</v>
      </c>
      <c r="Z25" s="2" t="s">
        <v>10</v>
      </c>
      <c r="AA25" s="2" t="s">
        <v>551</v>
      </c>
      <c r="AB25" s="2" t="s">
        <v>10</v>
      </c>
      <c r="AC25" s="2"/>
      <c r="AD25" s="2" t="s">
        <v>10</v>
      </c>
      <c r="AE25" s="2" t="s">
        <v>549</v>
      </c>
      <c r="AF25" s="2" t="s">
        <v>549</v>
      </c>
      <c r="AG25" s="2" t="s">
        <v>10</v>
      </c>
      <c r="AH25" s="2"/>
      <c r="AI25" s="2"/>
      <c r="AJ25" s="2"/>
      <c r="AK25" s="2"/>
      <c r="AL25" s="2"/>
      <c r="AM25" s="2" t="s">
        <v>648</v>
      </c>
      <c r="AN25" s="2" t="s">
        <v>114</v>
      </c>
      <c r="AO25" s="2" t="s">
        <v>649</v>
      </c>
      <c r="AP25" s="2"/>
      <c r="AQ25" s="2" t="s">
        <v>49</v>
      </c>
    </row>
    <row r="26" spans="1:43" ht="84">
      <c r="A26" s="2" t="s">
        <v>17</v>
      </c>
      <c r="B26" s="2" t="s">
        <v>650</v>
      </c>
      <c r="C26" s="2" t="s">
        <v>545</v>
      </c>
      <c r="D26" s="2"/>
      <c r="E26" s="2" t="s">
        <v>118</v>
      </c>
      <c r="F26" s="2" t="s">
        <v>562</v>
      </c>
      <c r="G26" s="2" t="s">
        <v>651</v>
      </c>
      <c r="H26" s="2">
        <v>1</v>
      </c>
      <c r="I26" s="2" t="s">
        <v>652</v>
      </c>
      <c r="J26" s="2"/>
      <c r="K26" s="2"/>
      <c r="L26" s="2"/>
      <c r="M26" s="2"/>
      <c r="N26" s="2" t="s">
        <v>550</v>
      </c>
      <c r="O26" s="2" t="s">
        <v>549</v>
      </c>
      <c r="P26" s="2"/>
      <c r="Q26" s="2"/>
      <c r="R26" s="2"/>
      <c r="S26" s="2"/>
      <c r="T26" s="2" t="s">
        <v>550</v>
      </c>
      <c r="U26" s="2" t="s">
        <v>549</v>
      </c>
      <c r="V26" s="2"/>
      <c r="W26" s="2" t="s">
        <v>8</v>
      </c>
      <c r="X26" s="2" t="s">
        <v>8</v>
      </c>
      <c r="Y26" s="2" t="s">
        <v>8</v>
      </c>
      <c r="Z26" s="2" t="s">
        <v>8</v>
      </c>
      <c r="AA26" s="2" t="s">
        <v>549</v>
      </c>
      <c r="AB26" s="2" t="s">
        <v>8</v>
      </c>
      <c r="AC26" s="2"/>
      <c r="AD26" s="2" t="s">
        <v>8</v>
      </c>
      <c r="AE26" s="2" t="s">
        <v>550</v>
      </c>
      <c r="AF26" s="2" t="s">
        <v>551</v>
      </c>
      <c r="AG26" s="2" t="s">
        <v>8</v>
      </c>
      <c r="AH26" s="2"/>
      <c r="AI26" s="2"/>
      <c r="AJ26" s="2"/>
      <c r="AK26" s="2"/>
      <c r="AL26" s="2"/>
      <c r="AM26" s="2" t="s">
        <v>653</v>
      </c>
      <c r="AN26" s="2" t="s">
        <v>654</v>
      </c>
      <c r="AO26" s="2" t="s">
        <v>655</v>
      </c>
      <c r="AP26" s="2"/>
      <c r="AQ26" s="2" t="s">
        <v>49</v>
      </c>
    </row>
    <row r="27" spans="1:43" ht="140">
      <c r="A27" s="2" t="s">
        <v>17</v>
      </c>
      <c r="B27" s="2" t="s">
        <v>117</v>
      </c>
      <c r="C27" s="2" t="s">
        <v>545</v>
      </c>
      <c r="D27" s="2"/>
      <c r="E27" s="2" t="s">
        <v>118</v>
      </c>
      <c r="F27" s="2" t="s">
        <v>546</v>
      </c>
      <c r="G27" s="2" t="s">
        <v>120</v>
      </c>
      <c r="H27" s="2">
        <v>1</v>
      </c>
      <c r="I27" s="2" t="s">
        <v>656</v>
      </c>
      <c r="J27" s="2"/>
      <c r="K27" s="2"/>
      <c r="L27" s="2"/>
      <c r="M27" s="2"/>
      <c r="N27" s="2" t="s">
        <v>550</v>
      </c>
      <c r="O27" s="2" t="s">
        <v>549</v>
      </c>
      <c r="P27" s="2"/>
      <c r="Q27" s="2"/>
      <c r="R27" s="2"/>
      <c r="S27" s="2"/>
      <c r="T27" s="2" t="s">
        <v>550</v>
      </c>
      <c r="U27" s="2" t="s">
        <v>549</v>
      </c>
      <c r="V27" s="2"/>
      <c r="W27" s="2" t="s">
        <v>8</v>
      </c>
      <c r="X27" s="2" t="s">
        <v>8</v>
      </c>
      <c r="Y27" s="2" t="s">
        <v>8</v>
      </c>
      <c r="Z27" s="2" t="s">
        <v>8</v>
      </c>
      <c r="AA27" s="2" t="s">
        <v>551</v>
      </c>
      <c r="AB27" s="2" t="s">
        <v>10</v>
      </c>
      <c r="AC27" s="2"/>
      <c r="AD27" s="2" t="s">
        <v>10</v>
      </c>
      <c r="AE27" s="2" t="s">
        <v>550</v>
      </c>
      <c r="AF27" s="2" t="s">
        <v>551</v>
      </c>
      <c r="AG27" s="2" t="s">
        <v>10</v>
      </c>
      <c r="AH27" s="2"/>
      <c r="AI27" s="2"/>
      <c r="AJ27" s="2"/>
      <c r="AK27" s="2"/>
      <c r="AL27" s="2"/>
      <c r="AM27" s="2" t="s">
        <v>657</v>
      </c>
      <c r="AN27" s="2" t="s">
        <v>121</v>
      </c>
      <c r="AO27" s="2" t="s">
        <v>658</v>
      </c>
      <c r="AP27" s="2"/>
      <c r="AQ27" s="2" t="s">
        <v>49</v>
      </c>
    </row>
    <row r="28" spans="1:43" ht="112">
      <c r="A28" s="2" t="s">
        <v>17</v>
      </c>
      <c r="B28" s="2" t="s">
        <v>309</v>
      </c>
      <c r="C28" s="2" t="s">
        <v>545</v>
      </c>
      <c r="D28" s="2"/>
      <c r="E28" s="2" t="s">
        <v>118</v>
      </c>
      <c r="F28" s="2" t="s">
        <v>546</v>
      </c>
      <c r="G28" s="2" t="s">
        <v>659</v>
      </c>
      <c r="H28" s="2">
        <v>1</v>
      </c>
      <c r="I28" s="2" t="s">
        <v>660</v>
      </c>
      <c r="J28" s="2"/>
      <c r="K28" s="2"/>
      <c r="L28" s="2"/>
      <c r="M28" s="2"/>
      <c r="N28" s="2" t="s">
        <v>550</v>
      </c>
      <c r="O28" s="2" t="s">
        <v>549</v>
      </c>
      <c r="P28" s="2"/>
      <c r="Q28" s="2"/>
      <c r="R28" s="2"/>
      <c r="S28" s="2"/>
      <c r="T28" s="2" t="s">
        <v>550</v>
      </c>
      <c r="U28" s="2" t="s">
        <v>549</v>
      </c>
      <c r="V28" s="2"/>
      <c r="W28" s="2" t="s">
        <v>8</v>
      </c>
      <c r="X28" s="2" t="s">
        <v>8</v>
      </c>
      <c r="Y28" s="2" t="s">
        <v>8</v>
      </c>
      <c r="Z28" s="2" t="s">
        <v>8</v>
      </c>
      <c r="AA28" s="2" t="s">
        <v>549</v>
      </c>
      <c r="AB28" s="2" t="s">
        <v>8</v>
      </c>
      <c r="AC28" s="2"/>
      <c r="AD28" s="2" t="s">
        <v>8</v>
      </c>
      <c r="AE28" s="2" t="s">
        <v>549</v>
      </c>
      <c r="AF28" s="2" t="s">
        <v>551</v>
      </c>
      <c r="AG28" s="2" t="s">
        <v>581</v>
      </c>
      <c r="AH28" s="2"/>
      <c r="AI28" s="2"/>
      <c r="AJ28" s="2"/>
      <c r="AK28" s="2"/>
      <c r="AL28" s="2"/>
      <c r="AM28" s="2" t="s">
        <v>311</v>
      </c>
      <c r="AN28" s="2" t="s">
        <v>310</v>
      </c>
      <c r="AO28" s="2" t="s">
        <v>661</v>
      </c>
      <c r="AP28" s="2"/>
      <c r="AQ28" s="2" t="s">
        <v>49</v>
      </c>
    </row>
    <row r="29" spans="1:43" ht="126">
      <c r="A29" s="2" t="s">
        <v>17</v>
      </c>
      <c r="B29" s="2" t="s">
        <v>312</v>
      </c>
      <c r="C29" s="2" t="s">
        <v>545</v>
      </c>
      <c r="D29" s="2"/>
      <c r="E29" s="2" t="s">
        <v>118</v>
      </c>
      <c r="F29" s="2" t="s">
        <v>572</v>
      </c>
      <c r="G29" s="2" t="s">
        <v>662</v>
      </c>
      <c r="H29" s="2">
        <v>1</v>
      </c>
      <c r="I29" s="2" t="s">
        <v>663</v>
      </c>
      <c r="J29" s="2"/>
      <c r="K29" s="2"/>
      <c r="L29" s="2"/>
      <c r="M29" s="2"/>
      <c r="N29" s="2" t="s">
        <v>550</v>
      </c>
      <c r="O29" s="2" t="s">
        <v>549</v>
      </c>
      <c r="P29" s="2"/>
      <c r="Q29" s="2"/>
      <c r="R29" s="2"/>
      <c r="S29" s="2"/>
      <c r="T29" s="2" t="s">
        <v>550</v>
      </c>
      <c r="U29" s="2" t="s">
        <v>549</v>
      </c>
      <c r="V29" s="2"/>
      <c r="W29" s="2" t="s">
        <v>8</v>
      </c>
      <c r="X29" s="2" t="s">
        <v>8</v>
      </c>
      <c r="Y29" s="2" t="s">
        <v>8</v>
      </c>
      <c r="Z29" s="2" t="s">
        <v>8</v>
      </c>
      <c r="AA29" s="2" t="s">
        <v>549</v>
      </c>
      <c r="AB29" s="2" t="s">
        <v>580</v>
      </c>
      <c r="AC29" s="2"/>
      <c r="AD29" s="2" t="s">
        <v>8</v>
      </c>
      <c r="AE29" s="2" t="s">
        <v>550</v>
      </c>
      <c r="AF29" s="2" t="s">
        <v>551</v>
      </c>
      <c r="AG29" s="2" t="s">
        <v>581</v>
      </c>
      <c r="AH29" s="2"/>
      <c r="AI29" s="2"/>
      <c r="AJ29" s="2"/>
      <c r="AK29" s="2"/>
      <c r="AL29" s="2"/>
      <c r="AM29" s="2" t="s">
        <v>314</v>
      </c>
      <c r="AN29" s="2" t="s">
        <v>313</v>
      </c>
      <c r="AO29" s="2" t="s">
        <v>664</v>
      </c>
      <c r="AP29" s="2"/>
      <c r="AQ29" s="2" t="s">
        <v>49</v>
      </c>
    </row>
    <row r="30" spans="1:43" ht="84">
      <c r="A30" s="2" t="s">
        <v>17</v>
      </c>
      <c r="B30" s="2" t="s">
        <v>665</v>
      </c>
      <c r="C30" s="2" t="s">
        <v>545</v>
      </c>
      <c r="D30" s="2"/>
      <c r="E30" s="2" t="s">
        <v>51</v>
      </c>
      <c r="F30" s="2" t="s">
        <v>572</v>
      </c>
      <c r="G30" s="2" t="s">
        <v>666</v>
      </c>
      <c r="H30" s="2">
        <v>15</v>
      </c>
      <c r="I30" s="2" t="s">
        <v>667</v>
      </c>
      <c r="J30" s="2"/>
      <c r="K30" s="2"/>
      <c r="L30" s="2"/>
      <c r="M30" s="2"/>
      <c r="N30" s="2" t="s">
        <v>8</v>
      </c>
      <c r="O30" s="2" t="s">
        <v>549</v>
      </c>
      <c r="P30" s="2"/>
      <c r="Q30" s="2"/>
      <c r="R30" s="2"/>
      <c r="S30" s="2"/>
      <c r="T30" s="2" t="s">
        <v>550</v>
      </c>
      <c r="U30" s="2" t="s">
        <v>549</v>
      </c>
      <c r="V30" s="2"/>
      <c r="W30" s="2" t="s">
        <v>8</v>
      </c>
      <c r="X30" s="2" t="s">
        <v>8</v>
      </c>
      <c r="Y30" s="2" t="s">
        <v>8</v>
      </c>
      <c r="Z30" s="2" t="s">
        <v>8</v>
      </c>
      <c r="AA30" s="2" t="s">
        <v>549</v>
      </c>
      <c r="AB30" s="2" t="s">
        <v>8</v>
      </c>
      <c r="AC30" s="2"/>
      <c r="AD30" s="2" t="s">
        <v>8</v>
      </c>
      <c r="AE30" s="2" t="s">
        <v>550</v>
      </c>
      <c r="AF30" s="2" t="s">
        <v>551</v>
      </c>
      <c r="AG30" s="2" t="s">
        <v>8</v>
      </c>
      <c r="AH30" s="2"/>
      <c r="AI30" s="2"/>
      <c r="AJ30" s="2"/>
      <c r="AK30" s="2"/>
      <c r="AL30" s="2"/>
      <c r="AM30" s="2" t="s">
        <v>668</v>
      </c>
      <c r="AN30" s="2" t="s">
        <v>669</v>
      </c>
      <c r="AO30" s="2" t="s">
        <v>670</v>
      </c>
      <c r="AP30" s="2"/>
      <c r="AQ30" s="2" t="s">
        <v>49</v>
      </c>
    </row>
    <row r="31" spans="1:43" ht="98">
      <c r="A31" s="2" t="s">
        <v>17</v>
      </c>
      <c r="B31" s="2" t="s">
        <v>671</v>
      </c>
      <c r="C31" s="2" t="s">
        <v>545</v>
      </c>
      <c r="D31" s="2"/>
      <c r="E31" s="2" t="s">
        <v>51</v>
      </c>
      <c r="F31" s="2" t="s">
        <v>562</v>
      </c>
      <c r="G31" s="2" t="s">
        <v>672</v>
      </c>
      <c r="H31" s="2">
        <v>6</v>
      </c>
      <c r="I31" s="2" t="s">
        <v>673</v>
      </c>
      <c r="J31" s="2"/>
      <c r="K31" s="2"/>
      <c r="L31" s="2"/>
      <c r="M31" s="2"/>
      <c r="N31" s="2" t="s">
        <v>8</v>
      </c>
      <c r="O31" s="2" t="s">
        <v>549</v>
      </c>
      <c r="P31" s="2"/>
      <c r="Q31" s="2"/>
      <c r="R31" s="2"/>
      <c r="S31" s="2"/>
      <c r="T31" s="2" t="s">
        <v>550</v>
      </c>
      <c r="U31" s="2" t="s">
        <v>549</v>
      </c>
      <c r="V31" s="2"/>
      <c r="W31" s="2" t="s">
        <v>8</v>
      </c>
      <c r="X31" s="2" t="s">
        <v>550</v>
      </c>
      <c r="Y31" s="2" t="s">
        <v>8</v>
      </c>
      <c r="Z31" s="2" t="s">
        <v>8</v>
      </c>
      <c r="AA31" s="2" t="s">
        <v>549</v>
      </c>
      <c r="AB31" s="2" t="s">
        <v>8</v>
      </c>
      <c r="AC31" s="2"/>
      <c r="AD31" s="2" t="s">
        <v>550</v>
      </c>
      <c r="AE31" s="2" t="s">
        <v>550</v>
      </c>
      <c r="AF31" s="2" t="s">
        <v>551</v>
      </c>
      <c r="AG31" s="2" t="s">
        <v>8</v>
      </c>
      <c r="AH31" s="2"/>
      <c r="AI31" s="2"/>
      <c r="AJ31" s="2"/>
      <c r="AK31" s="2"/>
      <c r="AL31" s="2"/>
      <c r="AM31" s="2" t="s">
        <v>674</v>
      </c>
      <c r="AN31" s="2" t="s">
        <v>675</v>
      </c>
      <c r="AO31" s="2" t="s">
        <v>676</v>
      </c>
      <c r="AP31" s="2"/>
      <c r="AQ31" s="2" t="s">
        <v>49</v>
      </c>
    </row>
    <row r="32" spans="1:43" ht="140">
      <c r="A32" s="2" t="s">
        <v>17</v>
      </c>
      <c r="B32" s="2" t="s">
        <v>315</v>
      </c>
      <c r="C32" s="2" t="s">
        <v>545</v>
      </c>
      <c r="D32" s="2"/>
      <c r="E32" s="2" t="s">
        <v>118</v>
      </c>
      <c r="F32" s="2" t="s">
        <v>546</v>
      </c>
      <c r="G32" s="2" t="s">
        <v>677</v>
      </c>
      <c r="H32" s="2">
        <v>1</v>
      </c>
      <c r="I32" s="2" t="s">
        <v>678</v>
      </c>
      <c r="J32" s="2"/>
      <c r="K32" s="2"/>
      <c r="L32" s="2"/>
      <c r="M32" s="2"/>
      <c r="N32" s="2" t="s">
        <v>550</v>
      </c>
      <c r="O32" s="2" t="s">
        <v>549</v>
      </c>
      <c r="P32" s="2"/>
      <c r="Q32" s="2"/>
      <c r="R32" s="2"/>
      <c r="S32" s="2"/>
      <c r="T32" s="2" t="s">
        <v>550</v>
      </c>
      <c r="U32" s="2" t="s">
        <v>549</v>
      </c>
      <c r="V32" s="2"/>
      <c r="W32" s="2" t="s">
        <v>8</v>
      </c>
      <c r="X32" s="2" t="s">
        <v>8</v>
      </c>
      <c r="Y32" s="2" t="s">
        <v>580</v>
      </c>
      <c r="Z32" s="2" t="s">
        <v>8</v>
      </c>
      <c r="AA32" s="2" t="s">
        <v>549</v>
      </c>
      <c r="AB32" s="2" t="s">
        <v>8</v>
      </c>
      <c r="AC32" s="2"/>
      <c r="AD32" s="2" t="s">
        <v>8</v>
      </c>
      <c r="AE32" s="2" t="s">
        <v>549</v>
      </c>
      <c r="AF32" s="2" t="s">
        <v>549</v>
      </c>
      <c r="AG32" s="2" t="s">
        <v>581</v>
      </c>
      <c r="AH32" s="2"/>
      <c r="AI32" s="2"/>
      <c r="AJ32" s="2"/>
      <c r="AK32" s="2"/>
      <c r="AL32" s="2"/>
      <c r="AM32" s="2" t="s">
        <v>318</v>
      </c>
      <c r="AN32" s="2" t="s">
        <v>316</v>
      </c>
      <c r="AO32" s="2" t="s">
        <v>679</v>
      </c>
      <c r="AP32" s="2"/>
      <c r="AQ32" s="2" t="s">
        <v>49</v>
      </c>
    </row>
    <row r="33" spans="1:43" ht="98">
      <c r="A33" s="2" t="s">
        <v>17</v>
      </c>
      <c r="B33" s="2" t="s">
        <v>319</v>
      </c>
      <c r="C33" s="2" t="s">
        <v>680</v>
      </c>
      <c r="D33" s="2"/>
      <c r="E33" s="2" t="s">
        <v>51</v>
      </c>
      <c r="F33" s="2" t="s">
        <v>562</v>
      </c>
      <c r="G33" s="2" t="s">
        <v>681</v>
      </c>
      <c r="H33" s="2">
        <v>202</v>
      </c>
      <c r="I33" s="2" t="s">
        <v>682</v>
      </c>
      <c r="J33" s="2"/>
      <c r="K33" s="2"/>
      <c r="L33" s="2"/>
      <c r="M33" s="2"/>
      <c r="N33" s="2" t="s">
        <v>8</v>
      </c>
      <c r="O33" s="2" t="s">
        <v>549</v>
      </c>
      <c r="P33" s="2"/>
      <c r="Q33" s="2"/>
      <c r="R33" s="2"/>
      <c r="S33" s="2"/>
      <c r="T33" s="2" t="s">
        <v>550</v>
      </c>
      <c r="U33" s="2" t="s">
        <v>549</v>
      </c>
      <c r="V33" s="2"/>
      <c r="W33" s="2" t="s">
        <v>8</v>
      </c>
      <c r="X33" s="2" t="s">
        <v>550</v>
      </c>
      <c r="Y33" s="2" t="s">
        <v>8</v>
      </c>
      <c r="Z33" s="2" t="s">
        <v>8</v>
      </c>
      <c r="AA33" s="2" t="s">
        <v>549</v>
      </c>
      <c r="AB33" s="2" t="s">
        <v>8</v>
      </c>
      <c r="AC33" s="2"/>
      <c r="AD33" s="2" t="s">
        <v>550</v>
      </c>
      <c r="AE33" s="2" t="s">
        <v>549</v>
      </c>
      <c r="AF33" s="2" t="s">
        <v>551</v>
      </c>
      <c r="AG33" s="2" t="s">
        <v>581</v>
      </c>
      <c r="AH33" s="2"/>
      <c r="AI33" s="2"/>
      <c r="AJ33" s="2"/>
      <c r="AK33" s="2"/>
      <c r="AL33" s="2"/>
      <c r="AM33" s="2" t="s">
        <v>321</v>
      </c>
      <c r="AN33" s="2" t="s">
        <v>320</v>
      </c>
      <c r="AO33" s="2" t="s">
        <v>683</v>
      </c>
      <c r="AP33" s="2"/>
      <c r="AQ33" s="2" t="s">
        <v>49</v>
      </c>
    </row>
    <row r="34" spans="1:43" ht="84">
      <c r="A34" s="2" t="s">
        <v>17</v>
      </c>
      <c r="B34" s="2" t="s">
        <v>684</v>
      </c>
      <c r="C34" s="2" t="s">
        <v>680</v>
      </c>
      <c r="D34" s="2"/>
      <c r="E34" s="2" t="s">
        <v>51</v>
      </c>
      <c r="F34" s="2" t="s">
        <v>562</v>
      </c>
      <c r="G34" s="2" t="s">
        <v>685</v>
      </c>
      <c r="H34" s="2"/>
      <c r="I34" s="2" t="s">
        <v>686</v>
      </c>
      <c r="J34" s="2"/>
      <c r="K34" s="2"/>
      <c r="L34" s="2"/>
      <c r="M34" s="2"/>
      <c r="N34" s="2" t="s">
        <v>550</v>
      </c>
      <c r="O34" s="2" t="s">
        <v>549</v>
      </c>
      <c r="P34" s="2"/>
      <c r="Q34" s="2"/>
      <c r="R34" s="2"/>
      <c r="S34" s="2"/>
      <c r="T34" s="2" t="s">
        <v>550</v>
      </c>
      <c r="U34" s="2" t="s">
        <v>549</v>
      </c>
      <c r="V34" s="2"/>
      <c r="W34" s="2" t="s">
        <v>550</v>
      </c>
      <c r="X34" s="2" t="s">
        <v>550</v>
      </c>
      <c r="Y34" s="2" t="s">
        <v>8</v>
      </c>
      <c r="Z34" s="2" t="s">
        <v>8</v>
      </c>
      <c r="AA34" s="2" t="s">
        <v>549</v>
      </c>
      <c r="AB34" s="2" t="s">
        <v>8</v>
      </c>
      <c r="AC34" s="2"/>
      <c r="AD34" s="2" t="s">
        <v>550</v>
      </c>
      <c r="AE34" s="2" t="s">
        <v>549</v>
      </c>
      <c r="AF34" s="2" t="s">
        <v>549</v>
      </c>
      <c r="AG34" s="2" t="s">
        <v>8</v>
      </c>
      <c r="AH34" s="2"/>
      <c r="AI34" s="2"/>
      <c r="AJ34" s="2"/>
      <c r="AK34" s="2"/>
      <c r="AL34" s="2"/>
      <c r="AM34" s="2" t="s">
        <v>687</v>
      </c>
      <c r="AN34" s="2" t="s">
        <v>688</v>
      </c>
      <c r="AO34" s="2" t="s">
        <v>689</v>
      </c>
      <c r="AP34" s="2"/>
      <c r="AQ34" s="2" t="s">
        <v>49</v>
      </c>
    </row>
    <row r="35" spans="1:43" ht="98">
      <c r="A35" s="2" t="s">
        <v>17</v>
      </c>
      <c r="B35" s="2" t="s">
        <v>322</v>
      </c>
      <c r="C35" s="2" t="s">
        <v>680</v>
      </c>
      <c r="D35" s="2"/>
      <c r="E35" s="2" t="s">
        <v>51</v>
      </c>
      <c r="F35" s="2" t="s">
        <v>572</v>
      </c>
      <c r="G35" s="2" t="s">
        <v>690</v>
      </c>
      <c r="H35" s="2"/>
      <c r="I35" s="2" t="s">
        <v>691</v>
      </c>
      <c r="J35" s="2"/>
      <c r="K35" s="2"/>
      <c r="L35" s="2"/>
      <c r="M35" s="2"/>
      <c r="N35" s="2" t="s">
        <v>8</v>
      </c>
      <c r="O35" s="2" t="s">
        <v>549</v>
      </c>
      <c r="P35" s="2"/>
      <c r="Q35" s="2"/>
      <c r="R35" s="2"/>
      <c r="S35" s="2"/>
      <c r="T35" s="2" t="s">
        <v>8</v>
      </c>
      <c r="U35" s="2" t="s">
        <v>549</v>
      </c>
      <c r="V35" s="2"/>
      <c r="W35" s="2" t="s">
        <v>8</v>
      </c>
      <c r="X35" s="2" t="s">
        <v>550</v>
      </c>
      <c r="Y35" s="2" t="s">
        <v>8</v>
      </c>
      <c r="Z35" s="2" t="s">
        <v>8</v>
      </c>
      <c r="AA35" s="2" t="s">
        <v>549</v>
      </c>
      <c r="AB35" s="2" t="s">
        <v>8</v>
      </c>
      <c r="AC35" s="2"/>
      <c r="AD35" s="2" t="s">
        <v>550</v>
      </c>
      <c r="AE35" s="2" t="s">
        <v>549</v>
      </c>
      <c r="AF35" s="2" t="s">
        <v>551</v>
      </c>
      <c r="AG35" s="2" t="s">
        <v>581</v>
      </c>
      <c r="AH35" s="2"/>
      <c r="AI35" s="2"/>
      <c r="AJ35" s="2"/>
      <c r="AK35" s="2"/>
      <c r="AL35" s="2"/>
      <c r="AM35" s="2" t="s">
        <v>324</v>
      </c>
      <c r="AN35" s="2" t="s">
        <v>323</v>
      </c>
      <c r="AO35" s="2" t="s">
        <v>692</v>
      </c>
      <c r="AP35" s="2"/>
      <c r="AQ35" s="2" t="s">
        <v>49</v>
      </c>
    </row>
    <row r="36" spans="1:43" ht="112">
      <c r="A36" s="2" t="s">
        <v>17</v>
      </c>
      <c r="B36" s="2" t="s">
        <v>124</v>
      </c>
      <c r="C36" s="2" t="s">
        <v>680</v>
      </c>
      <c r="D36" s="2"/>
      <c r="E36" s="2" t="s">
        <v>42</v>
      </c>
      <c r="F36" s="2" t="s">
        <v>562</v>
      </c>
      <c r="G36" s="2" t="s">
        <v>126</v>
      </c>
      <c r="H36" s="2">
        <v>15</v>
      </c>
      <c r="I36" s="2" t="s">
        <v>693</v>
      </c>
      <c r="J36" s="2"/>
      <c r="K36" s="2"/>
      <c r="L36" s="2"/>
      <c r="M36" s="2"/>
      <c r="N36" s="2" t="s">
        <v>8</v>
      </c>
      <c r="O36" s="2" t="s">
        <v>549</v>
      </c>
      <c r="P36" s="2"/>
      <c r="Q36" s="2"/>
      <c r="R36" s="2"/>
      <c r="S36" s="2"/>
      <c r="T36" s="2" t="s">
        <v>550</v>
      </c>
      <c r="U36" s="2" t="s">
        <v>549</v>
      </c>
      <c r="V36" s="2"/>
      <c r="W36" s="2" t="s">
        <v>8</v>
      </c>
      <c r="X36" s="2" t="s">
        <v>8</v>
      </c>
      <c r="Y36" s="2" t="s">
        <v>10</v>
      </c>
      <c r="Z36" s="2" t="s">
        <v>10</v>
      </c>
      <c r="AA36" s="2" t="s">
        <v>551</v>
      </c>
      <c r="AB36" s="2" t="s">
        <v>10</v>
      </c>
      <c r="AC36" s="2"/>
      <c r="AD36" s="2" t="s">
        <v>10</v>
      </c>
      <c r="AE36" s="2" t="s">
        <v>549</v>
      </c>
      <c r="AF36" s="2" t="s">
        <v>551</v>
      </c>
      <c r="AG36" s="2" t="s">
        <v>10</v>
      </c>
      <c r="AH36" s="2"/>
      <c r="AI36" s="2"/>
      <c r="AJ36" s="2"/>
      <c r="AK36" s="2"/>
      <c r="AL36" s="2"/>
      <c r="AM36" s="2" t="s">
        <v>694</v>
      </c>
      <c r="AN36" s="2" t="s">
        <v>127</v>
      </c>
      <c r="AO36" s="2" t="s">
        <v>695</v>
      </c>
      <c r="AP36" s="2"/>
      <c r="AQ36" s="2" t="s">
        <v>49</v>
      </c>
    </row>
    <row r="37" spans="1:43" ht="84">
      <c r="A37" s="2" t="s">
        <v>17</v>
      </c>
      <c r="B37" s="2" t="s">
        <v>696</v>
      </c>
      <c r="C37" s="2" t="s">
        <v>680</v>
      </c>
      <c r="D37" s="2"/>
      <c r="E37" s="2" t="s">
        <v>51</v>
      </c>
      <c r="F37" s="2" t="s">
        <v>562</v>
      </c>
      <c r="G37" s="2" t="s">
        <v>697</v>
      </c>
      <c r="H37" s="2">
        <v>2</v>
      </c>
      <c r="I37" s="2" t="s">
        <v>698</v>
      </c>
      <c r="J37" s="2"/>
      <c r="K37" s="2"/>
      <c r="L37" s="2"/>
      <c r="M37" s="2"/>
      <c r="N37" s="2" t="s">
        <v>8</v>
      </c>
      <c r="O37" s="2" t="s">
        <v>549</v>
      </c>
      <c r="P37" s="2"/>
      <c r="Q37" s="2"/>
      <c r="R37" s="2"/>
      <c r="S37" s="2"/>
      <c r="T37" s="2" t="s">
        <v>550</v>
      </c>
      <c r="U37" s="2" t="s">
        <v>549</v>
      </c>
      <c r="V37" s="2"/>
      <c r="W37" s="2" t="s">
        <v>8</v>
      </c>
      <c r="X37" s="2" t="s">
        <v>550</v>
      </c>
      <c r="Y37" s="2" t="s">
        <v>8</v>
      </c>
      <c r="Z37" s="2" t="s">
        <v>8</v>
      </c>
      <c r="AA37" s="2" t="s">
        <v>549</v>
      </c>
      <c r="AB37" s="2" t="s">
        <v>8</v>
      </c>
      <c r="AC37" s="2"/>
      <c r="AD37" s="2" t="s">
        <v>550</v>
      </c>
      <c r="AE37" s="2" t="s">
        <v>550</v>
      </c>
      <c r="AF37" s="2" t="s">
        <v>551</v>
      </c>
      <c r="AG37" s="2" t="s">
        <v>8</v>
      </c>
      <c r="AH37" s="2"/>
      <c r="AI37" s="2"/>
      <c r="AJ37" s="2"/>
      <c r="AK37" s="2"/>
      <c r="AL37" s="2"/>
      <c r="AM37" s="2" t="s">
        <v>699</v>
      </c>
      <c r="AN37" s="2" t="s">
        <v>700</v>
      </c>
      <c r="AO37" s="2" t="s">
        <v>701</v>
      </c>
      <c r="AP37" s="2"/>
      <c r="AQ37" s="2" t="s">
        <v>49</v>
      </c>
    </row>
    <row r="38" spans="1:43" ht="98">
      <c r="A38" s="2" t="s">
        <v>17</v>
      </c>
      <c r="B38" s="2" t="s">
        <v>130</v>
      </c>
      <c r="C38" s="2" t="s">
        <v>680</v>
      </c>
      <c r="D38" s="2"/>
      <c r="E38" s="2" t="s">
        <v>51</v>
      </c>
      <c r="F38" s="2" t="s">
        <v>572</v>
      </c>
      <c r="G38" s="2" t="s">
        <v>132</v>
      </c>
      <c r="H38" s="2">
        <v>1</v>
      </c>
      <c r="I38" s="2" t="s">
        <v>702</v>
      </c>
      <c r="J38" s="2"/>
      <c r="K38" s="2"/>
      <c r="L38" s="2"/>
      <c r="M38" s="2"/>
      <c r="N38" s="2" t="s">
        <v>8</v>
      </c>
      <c r="O38" s="2" t="s">
        <v>549</v>
      </c>
      <c r="P38" s="2"/>
      <c r="Q38" s="2"/>
      <c r="R38" s="2"/>
      <c r="S38" s="2"/>
      <c r="T38" s="2" t="s">
        <v>550</v>
      </c>
      <c r="U38" s="2" t="s">
        <v>549</v>
      </c>
      <c r="V38" s="2"/>
      <c r="W38" s="2" t="s">
        <v>8</v>
      </c>
      <c r="X38" s="2" t="s">
        <v>550</v>
      </c>
      <c r="Y38" s="2" t="s">
        <v>10</v>
      </c>
      <c r="Z38" s="2" t="s">
        <v>10</v>
      </c>
      <c r="AA38" s="2" t="s">
        <v>551</v>
      </c>
      <c r="AB38" s="2" t="s">
        <v>10</v>
      </c>
      <c r="AC38" s="2"/>
      <c r="AD38" s="2" t="s">
        <v>550</v>
      </c>
      <c r="AE38" s="2" t="s">
        <v>549</v>
      </c>
      <c r="AF38" s="2" t="s">
        <v>549</v>
      </c>
      <c r="AG38" s="2" t="s">
        <v>10</v>
      </c>
      <c r="AH38" s="2"/>
      <c r="AI38" s="2"/>
      <c r="AJ38" s="2"/>
      <c r="AK38" s="2"/>
      <c r="AL38" s="2"/>
      <c r="AM38" s="2" t="s">
        <v>703</v>
      </c>
      <c r="AN38" s="2" t="s">
        <v>133</v>
      </c>
      <c r="AO38" s="2" t="s">
        <v>704</v>
      </c>
      <c r="AP38" s="2"/>
      <c r="AQ38" s="2" t="s">
        <v>49</v>
      </c>
    </row>
    <row r="39" spans="1:43" ht="112">
      <c r="A39" s="2" t="s">
        <v>17</v>
      </c>
      <c r="B39" s="2" t="s">
        <v>136</v>
      </c>
      <c r="C39" s="2" t="s">
        <v>680</v>
      </c>
      <c r="D39" s="2"/>
      <c r="E39" s="2" t="s">
        <v>118</v>
      </c>
      <c r="F39" s="2" t="s">
        <v>562</v>
      </c>
      <c r="G39" s="2" t="s">
        <v>138</v>
      </c>
      <c r="H39" s="2">
        <v>1</v>
      </c>
      <c r="I39" s="2" t="s">
        <v>705</v>
      </c>
      <c r="J39" s="2"/>
      <c r="K39" s="2"/>
      <c r="L39" s="2"/>
      <c r="M39" s="2"/>
      <c r="N39" s="2" t="s">
        <v>550</v>
      </c>
      <c r="O39" s="2" t="s">
        <v>551</v>
      </c>
      <c r="P39" s="2"/>
      <c r="Q39" s="2"/>
      <c r="R39" s="2"/>
      <c r="S39" s="2"/>
      <c r="T39" s="2" t="s">
        <v>550</v>
      </c>
      <c r="U39" s="2" t="s">
        <v>549</v>
      </c>
      <c r="V39" s="2"/>
      <c r="W39" s="2" t="s">
        <v>8</v>
      </c>
      <c r="X39" s="2" t="s">
        <v>8</v>
      </c>
      <c r="Y39" s="2" t="s">
        <v>10</v>
      </c>
      <c r="Z39" s="2" t="s">
        <v>10</v>
      </c>
      <c r="AA39" s="2" t="s">
        <v>551</v>
      </c>
      <c r="AB39" s="2" t="s">
        <v>10</v>
      </c>
      <c r="AC39" s="2"/>
      <c r="AD39" s="2" t="s">
        <v>8</v>
      </c>
      <c r="AE39" s="2" t="s">
        <v>549</v>
      </c>
      <c r="AF39" s="2" t="s">
        <v>551</v>
      </c>
      <c r="AG39" s="2" t="s">
        <v>10</v>
      </c>
      <c r="AH39" s="2"/>
      <c r="AI39" s="2"/>
      <c r="AJ39" s="2"/>
      <c r="AK39" s="2"/>
      <c r="AL39" s="2"/>
      <c r="AM39" s="2" t="s">
        <v>706</v>
      </c>
      <c r="AN39" s="2" t="s">
        <v>139</v>
      </c>
      <c r="AO39" s="2" t="s">
        <v>707</v>
      </c>
      <c r="AP39" s="2"/>
      <c r="AQ39" s="2" t="s">
        <v>49</v>
      </c>
    </row>
    <row r="40" spans="1:43" ht="98">
      <c r="A40" s="2" t="s">
        <v>17</v>
      </c>
      <c r="B40" s="2" t="s">
        <v>325</v>
      </c>
      <c r="C40" s="2" t="s">
        <v>680</v>
      </c>
      <c r="D40" s="2"/>
      <c r="E40" s="2" t="s">
        <v>51</v>
      </c>
      <c r="F40" s="2" t="s">
        <v>546</v>
      </c>
      <c r="G40" s="2" t="s">
        <v>708</v>
      </c>
      <c r="H40" s="2">
        <v>5</v>
      </c>
      <c r="I40" s="2" t="s">
        <v>709</v>
      </c>
      <c r="J40" s="2"/>
      <c r="K40" s="2"/>
      <c r="L40" s="2"/>
      <c r="M40" s="2"/>
      <c r="N40" s="2" t="s">
        <v>8</v>
      </c>
      <c r="O40" s="2" t="s">
        <v>549</v>
      </c>
      <c r="P40" s="2"/>
      <c r="Q40" s="2"/>
      <c r="R40" s="2"/>
      <c r="S40" s="2"/>
      <c r="T40" s="2" t="s">
        <v>550</v>
      </c>
      <c r="U40" s="2" t="s">
        <v>549</v>
      </c>
      <c r="V40" s="2"/>
      <c r="W40" s="2" t="s">
        <v>8</v>
      </c>
      <c r="X40" s="2" t="s">
        <v>550</v>
      </c>
      <c r="Y40" s="2" t="s">
        <v>8</v>
      </c>
      <c r="Z40" s="2" t="s">
        <v>8</v>
      </c>
      <c r="AA40" s="2" t="s">
        <v>549</v>
      </c>
      <c r="AB40" s="2" t="s">
        <v>8</v>
      </c>
      <c r="AC40" s="2"/>
      <c r="AD40" s="2" t="s">
        <v>550</v>
      </c>
      <c r="AE40" s="2" t="s">
        <v>549</v>
      </c>
      <c r="AF40" s="2" t="s">
        <v>551</v>
      </c>
      <c r="AG40" s="2" t="s">
        <v>581</v>
      </c>
      <c r="AH40" s="2"/>
      <c r="AI40" s="2"/>
      <c r="AJ40" s="2"/>
      <c r="AK40" s="2"/>
      <c r="AL40" s="2"/>
      <c r="AM40" s="2" t="s">
        <v>327</v>
      </c>
      <c r="AN40" s="2" t="s">
        <v>326</v>
      </c>
      <c r="AO40" s="2" t="s">
        <v>710</v>
      </c>
      <c r="AP40" s="2"/>
      <c r="AQ40" s="2" t="s">
        <v>49</v>
      </c>
    </row>
    <row r="41" spans="1:43" ht="70">
      <c r="A41" s="2" t="s">
        <v>17</v>
      </c>
      <c r="B41" s="2" t="s">
        <v>711</v>
      </c>
      <c r="C41" s="2" t="s">
        <v>680</v>
      </c>
      <c r="D41" s="2"/>
      <c r="E41" s="2" t="s">
        <v>51</v>
      </c>
      <c r="F41" s="2" t="s">
        <v>562</v>
      </c>
      <c r="G41" s="2" t="s">
        <v>712</v>
      </c>
      <c r="H41" s="2">
        <v>1</v>
      </c>
      <c r="I41" s="2" t="s">
        <v>713</v>
      </c>
      <c r="J41" s="2"/>
      <c r="K41" s="2"/>
      <c r="L41" s="2"/>
      <c r="M41" s="2"/>
      <c r="N41" s="2" t="s">
        <v>8</v>
      </c>
      <c r="O41" s="2" t="s">
        <v>549</v>
      </c>
      <c r="P41" s="2"/>
      <c r="Q41" s="2"/>
      <c r="R41" s="2"/>
      <c r="S41" s="2"/>
      <c r="T41" s="2" t="s">
        <v>550</v>
      </c>
      <c r="U41" s="2" t="s">
        <v>549</v>
      </c>
      <c r="V41" s="2"/>
      <c r="W41" s="2" t="s">
        <v>8</v>
      </c>
      <c r="X41" s="2" t="s">
        <v>550</v>
      </c>
      <c r="Y41" s="2" t="s">
        <v>8</v>
      </c>
      <c r="Z41" s="2" t="s">
        <v>8</v>
      </c>
      <c r="AA41" s="2" t="s">
        <v>549</v>
      </c>
      <c r="AB41" s="2" t="s">
        <v>8</v>
      </c>
      <c r="AC41" s="2"/>
      <c r="AD41" s="2" t="s">
        <v>550</v>
      </c>
      <c r="AE41" s="2" t="s">
        <v>550</v>
      </c>
      <c r="AF41" s="2" t="s">
        <v>551</v>
      </c>
      <c r="AG41" s="2" t="s">
        <v>8</v>
      </c>
      <c r="AH41" s="2"/>
      <c r="AI41" s="2"/>
      <c r="AJ41" s="2"/>
      <c r="AK41" s="2"/>
      <c r="AL41" s="2"/>
      <c r="AM41" s="2" t="s">
        <v>714</v>
      </c>
      <c r="AN41" s="2" t="s">
        <v>715</v>
      </c>
      <c r="AO41" s="2" t="s">
        <v>716</v>
      </c>
      <c r="AP41" s="2"/>
      <c r="AQ41" s="2" t="s">
        <v>49</v>
      </c>
    </row>
    <row r="42" spans="1:43" ht="112">
      <c r="A42" s="2" t="s">
        <v>17</v>
      </c>
      <c r="B42" s="2" t="s">
        <v>328</v>
      </c>
      <c r="C42" s="2" t="s">
        <v>680</v>
      </c>
      <c r="D42" s="2"/>
      <c r="E42" s="2" t="s">
        <v>51</v>
      </c>
      <c r="F42" s="2" t="s">
        <v>546</v>
      </c>
      <c r="G42" s="2" t="s">
        <v>717</v>
      </c>
      <c r="H42" s="2">
        <v>183412</v>
      </c>
      <c r="I42" s="2" t="s">
        <v>718</v>
      </c>
      <c r="J42" s="2"/>
      <c r="K42" s="2"/>
      <c r="L42" s="2"/>
      <c r="M42" s="2"/>
      <c r="N42" s="2" t="s">
        <v>8</v>
      </c>
      <c r="O42" s="2" t="s">
        <v>549</v>
      </c>
      <c r="P42" s="2"/>
      <c r="Q42" s="2"/>
      <c r="R42" s="2"/>
      <c r="S42" s="2"/>
      <c r="T42" s="2" t="s">
        <v>8</v>
      </c>
      <c r="U42" s="2" t="s">
        <v>549</v>
      </c>
      <c r="V42" s="2"/>
      <c r="W42" s="2" t="s">
        <v>8</v>
      </c>
      <c r="X42" s="2" t="s">
        <v>550</v>
      </c>
      <c r="Y42" s="2" t="s">
        <v>8</v>
      </c>
      <c r="Z42" s="2" t="s">
        <v>8</v>
      </c>
      <c r="AA42" s="2" t="s">
        <v>549</v>
      </c>
      <c r="AB42" s="2" t="s">
        <v>8</v>
      </c>
      <c r="AC42" s="2"/>
      <c r="AD42" s="2" t="s">
        <v>550</v>
      </c>
      <c r="AE42" s="2" t="s">
        <v>549</v>
      </c>
      <c r="AF42" s="2" t="s">
        <v>551</v>
      </c>
      <c r="AG42" s="2" t="s">
        <v>581</v>
      </c>
      <c r="AH42" s="2"/>
      <c r="AI42" s="2"/>
      <c r="AJ42" s="2"/>
      <c r="AK42" s="2"/>
      <c r="AL42" s="2"/>
      <c r="AM42" s="2" t="s">
        <v>330</v>
      </c>
      <c r="AN42" s="2" t="s">
        <v>329</v>
      </c>
      <c r="AO42" s="2" t="s">
        <v>719</v>
      </c>
      <c r="AP42" s="2"/>
      <c r="AQ42" s="2" t="s">
        <v>49</v>
      </c>
    </row>
    <row r="43" spans="1:43" ht="84">
      <c r="A43" s="2" t="s">
        <v>17</v>
      </c>
      <c r="B43" s="2" t="s">
        <v>720</v>
      </c>
      <c r="C43" s="2" t="s">
        <v>680</v>
      </c>
      <c r="D43" s="2"/>
      <c r="E43" s="2" t="s">
        <v>42</v>
      </c>
      <c r="F43" s="2" t="s">
        <v>572</v>
      </c>
      <c r="G43" s="2" t="s">
        <v>721</v>
      </c>
      <c r="H43" s="2">
        <v>1</v>
      </c>
      <c r="I43" s="2" t="s">
        <v>722</v>
      </c>
      <c r="J43" s="2"/>
      <c r="K43" s="2"/>
      <c r="L43" s="2"/>
      <c r="M43" s="2"/>
      <c r="N43" s="2" t="s">
        <v>8</v>
      </c>
      <c r="O43" s="2" t="s">
        <v>549</v>
      </c>
      <c r="P43" s="2"/>
      <c r="Q43" s="2"/>
      <c r="R43" s="2"/>
      <c r="S43" s="2"/>
      <c r="T43" s="2" t="s">
        <v>8</v>
      </c>
      <c r="U43" s="2" t="s">
        <v>549</v>
      </c>
      <c r="V43" s="2"/>
      <c r="W43" s="2" t="s">
        <v>8</v>
      </c>
      <c r="X43" s="2" t="s">
        <v>550</v>
      </c>
      <c r="Y43" s="2" t="s">
        <v>8</v>
      </c>
      <c r="Z43" s="2" t="s">
        <v>8</v>
      </c>
      <c r="AA43" s="2" t="s">
        <v>549</v>
      </c>
      <c r="AB43" s="2" t="s">
        <v>8</v>
      </c>
      <c r="AC43" s="2"/>
      <c r="AD43" s="2" t="s">
        <v>550</v>
      </c>
      <c r="AE43" s="2" t="s">
        <v>550</v>
      </c>
      <c r="AF43" s="2" t="s">
        <v>551</v>
      </c>
      <c r="AG43" s="2" t="s">
        <v>8</v>
      </c>
      <c r="AH43" s="2"/>
      <c r="AI43" s="2"/>
      <c r="AJ43" s="2"/>
      <c r="AK43" s="2"/>
      <c r="AL43" s="2"/>
      <c r="AM43" s="2" t="s">
        <v>723</v>
      </c>
      <c r="AN43" s="2" t="s">
        <v>724</v>
      </c>
      <c r="AO43" s="2" t="s">
        <v>725</v>
      </c>
      <c r="AP43" s="2"/>
      <c r="AQ43" s="2" t="s">
        <v>49</v>
      </c>
    </row>
    <row r="44" spans="1:43" ht="84">
      <c r="A44" s="2" t="s">
        <v>17</v>
      </c>
      <c r="B44" s="2" t="s">
        <v>331</v>
      </c>
      <c r="C44" s="2" t="s">
        <v>680</v>
      </c>
      <c r="D44" s="2"/>
      <c r="E44" s="2" t="s">
        <v>51</v>
      </c>
      <c r="F44" s="2" t="s">
        <v>562</v>
      </c>
      <c r="G44" s="2" t="s">
        <v>726</v>
      </c>
      <c r="H44" s="2">
        <v>4</v>
      </c>
      <c r="I44" s="2" t="s">
        <v>727</v>
      </c>
      <c r="J44" s="2"/>
      <c r="K44" s="2"/>
      <c r="L44" s="2"/>
      <c r="M44" s="2"/>
      <c r="N44" s="2" t="s">
        <v>8</v>
      </c>
      <c r="O44" s="2" t="s">
        <v>549</v>
      </c>
      <c r="P44" s="2"/>
      <c r="Q44" s="2"/>
      <c r="R44" s="2"/>
      <c r="S44" s="2"/>
      <c r="T44" s="2" t="s">
        <v>550</v>
      </c>
      <c r="U44" s="2" t="s">
        <v>549</v>
      </c>
      <c r="V44" s="2"/>
      <c r="W44" s="2" t="s">
        <v>8</v>
      </c>
      <c r="X44" s="2" t="s">
        <v>550</v>
      </c>
      <c r="Y44" s="2" t="s">
        <v>8</v>
      </c>
      <c r="Z44" s="2" t="s">
        <v>8</v>
      </c>
      <c r="AA44" s="2" t="s">
        <v>549</v>
      </c>
      <c r="AB44" s="2" t="s">
        <v>8</v>
      </c>
      <c r="AC44" s="2"/>
      <c r="AD44" s="2" t="s">
        <v>550</v>
      </c>
      <c r="AE44" s="2" t="s">
        <v>549</v>
      </c>
      <c r="AF44" s="2" t="s">
        <v>551</v>
      </c>
      <c r="AG44" s="2" t="s">
        <v>581</v>
      </c>
      <c r="AH44" s="2"/>
      <c r="AI44" s="2"/>
      <c r="AJ44" s="2"/>
      <c r="AK44" s="2"/>
      <c r="AL44" s="2"/>
      <c r="AM44" s="2" t="s">
        <v>333</v>
      </c>
      <c r="AN44" s="2" t="s">
        <v>332</v>
      </c>
      <c r="AO44" s="2" t="s">
        <v>728</v>
      </c>
      <c r="AP44" s="2"/>
      <c r="AQ44" s="2" t="s">
        <v>49</v>
      </c>
    </row>
    <row r="45" spans="1:43" ht="126">
      <c r="A45" s="2" t="s">
        <v>17</v>
      </c>
      <c r="B45" s="2" t="s">
        <v>142</v>
      </c>
      <c r="C45" s="2" t="s">
        <v>680</v>
      </c>
      <c r="D45" s="2"/>
      <c r="E45" s="2" t="s">
        <v>42</v>
      </c>
      <c r="F45" s="2" t="s">
        <v>572</v>
      </c>
      <c r="G45" s="2" t="s">
        <v>144</v>
      </c>
      <c r="H45" s="2">
        <v>12</v>
      </c>
      <c r="I45" s="2" t="s">
        <v>729</v>
      </c>
      <c r="J45" s="2"/>
      <c r="K45" s="2"/>
      <c r="L45" s="2"/>
      <c r="M45" s="2"/>
      <c r="N45" s="2" t="s">
        <v>8</v>
      </c>
      <c r="O45" s="2" t="s">
        <v>549</v>
      </c>
      <c r="P45" s="2"/>
      <c r="Q45" s="2"/>
      <c r="R45" s="2"/>
      <c r="S45" s="2"/>
      <c r="T45" s="2" t="s">
        <v>580</v>
      </c>
      <c r="U45" s="2" t="s">
        <v>549</v>
      </c>
      <c r="V45" s="2"/>
      <c r="W45" s="2" t="s">
        <v>8</v>
      </c>
      <c r="X45" s="2" t="s">
        <v>8</v>
      </c>
      <c r="Y45" s="2" t="s">
        <v>10</v>
      </c>
      <c r="Z45" s="2" t="s">
        <v>10</v>
      </c>
      <c r="AA45" s="2" t="s">
        <v>551</v>
      </c>
      <c r="AB45" s="2" t="s">
        <v>10</v>
      </c>
      <c r="AC45" s="2"/>
      <c r="AD45" s="2" t="s">
        <v>8</v>
      </c>
      <c r="AE45" s="2" t="s">
        <v>549</v>
      </c>
      <c r="AF45" s="2" t="s">
        <v>549</v>
      </c>
      <c r="AG45" s="2" t="s">
        <v>10</v>
      </c>
      <c r="AH45" s="2"/>
      <c r="AI45" s="2"/>
      <c r="AJ45" s="2"/>
      <c r="AK45" s="2"/>
      <c r="AL45" s="2"/>
      <c r="AM45" s="2" t="s">
        <v>730</v>
      </c>
      <c r="AN45" s="2" t="s">
        <v>145</v>
      </c>
      <c r="AO45" s="2" t="s">
        <v>731</v>
      </c>
      <c r="AP45" s="2"/>
      <c r="AQ45" s="2" t="s">
        <v>49</v>
      </c>
    </row>
    <row r="46" spans="1:43" ht="70">
      <c r="A46" s="2" t="s">
        <v>17</v>
      </c>
      <c r="B46" s="2" t="s">
        <v>732</v>
      </c>
      <c r="C46" s="2" t="s">
        <v>680</v>
      </c>
      <c r="D46" s="2"/>
      <c r="E46" s="2" t="s">
        <v>42</v>
      </c>
      <c r="F46" s="2" t="s">
        <v>562</v>
      </c>
      <c r="G46" s="2" t="s">
        <v>733</v>
      </c>
      <c r="H46" s="2">
        <v>4</v>
      </c>
      <c r="I46" s="2" t="s">
        <v>734</v>
      </c>
      <c r="J46" s="2"/>
      <c r="K46" s="2"/>
      <c r="L46" s="2"/>
      <c r="M46" s="2"/>
      <c r="N46" s="2" t="s">
        <v>8</v>
      </c>
      <c r="O46" s="2" t="s">
        <v>549</v>
      </c>
      <c r="P46" s="2"/>
      <c r="Q46" s="2"/>
      <c r="R46" s="2"/>
      <c r="S46" s="2"/>
      <c r="T46" s="2" t="s">
        <v>550</v>
      </c>
      <c r="U46" s="2" t="s">
        <v>549</v>
      </c>
      <c r="V46" s="2"/>
      <c r="W46" s="2" t="s">
        <v>8</v>
      </c>
      <c r="X46" s="2" t="s">
        <v>8</v>
      </c>
      <c r="Y46" s="2" t="s">
        <v>8</v>
      </c>
      <c r="Z46" s="2" t="s">
        <v>8</v>
      </c>
      <c r="AA46" s="2" t="s">
        <v>549</v>
      </c>
      <c r="AB46" s="2" t="s">
        <v>8</v>
      </c>
      <c r="AC46" s="2"/>
      <c r="AD46" s="2" t="s">
        <v>8</v>
      </c>
      <c r="AE46" s="2" t="s">
        <v>550</v>
      </c>
      <c r="AF46" s="2" t="s">
        <v>551</v>
      </c>
      <c r="AG46" s="2" t="s">
        <v>8</v>
      </c>
      <c r="AH46" s="2"/>
      <c r="AI46" s="2"/>
      <c r="AJ46" s="2"/>
      <c r="AK46" s="2"/>
      <c r="AL46" s="2"/>
      <c r="AM46" s="2" t="s">
        <v>735</v>
      </c>
      <c r="AN46" s="2" t="s">
        <v>736</v>
      </c>
      <c r="AO46" s="2" t="s">
        <v>737</v>
      </c>
      <c r="AP46" s="2"/>
      <c r="AQ46" s="2" t="s">
        <v>49</v>
      </c>
    </row>
    <row r="47" spans="1:43" ht="98">
      <c r="A47" s="2" t="s">
        <v>17</v>
      </c>
      <c r="B47" s="2" t="s">
        <v>148</v>
      </c>
      <c r="C47" s="2" t="s">
        <v>680</v>
      </c>
      <c r="D47" s="2"/>
      <c r="E47" s="2" t="s">
        <v>42</v>
      </c>
      <c r="F47" s="2" t="s">
        <v>546</v>
      </c>
      <c r="G47" s="2" t="s">
        <v>150</v>
      </c>
      <c r="H47" s="2">
        <v>1</v>
      </c>
      <c r="I47" s="2" t="s">
        <v>738</v>
      </c>
      <c r="J47" s="2"/>
      <c r="K47" s="2"/>
      <c r="L47" s="2"/>
      <c r="M47" s="2"/>
      <c r="N47" s="2" t="s">
        <v>8</v>
      </c>
      <c r="O47" s="2" t="s">
        <v>549</v>
      </c>
      <c r="P47" s="2"/>
      <c r="Q47" s="2"/>
      <c r="R47" s="2"/>
      <c r="S47" s="2"/>
      <c r="T47" s="2" t="s">
        <v>550</v>
      </c>
      <c r="U47" s="2" t="s">
        <v>549</v>
      </c>
      <c r="V47" s="2"/>
      <c r="W47" s="2" t="s">
        <v>8</v>
      </c>
      <c r="X47" s="2" t="s">
        <v>8</v>
      </c>
      <c r="Y47" s="2" t="s">
        <v>8</v>
      </c>
      <c r="Z47" s="2" t="s">
        <v>10</v>
      </c>
      <c r="AA47" s="2" t="s">
        <v>551</v>
      </c>
      <c r="AB47" s="2" t="s">
        <v>10</v>
      </c>
      <c r="AC47" s="2"/>
      <c r="AD47" s="2" t="s">
        <v>8</v>
      </c>
      <c r="AE47" s="2" t="s">
        <v>549</v>
      </c>
      <c r="AF47" s="2" t="s">
        <v>551</v>
      </c>
      <c r="AG47" s="2" t="s">
        <v>10</v>
      </c>
      <c r="AH47" s="2"/>
      <c r="AI47" s="2"/>
      <c r="AJ47" s="2"/>
      <c r="AK47" s="2"/>
      <c r="AL47" s="2"/>
      <c r="AM47" s="2" t="s">
        <v>739</v>
      </c>
      <c r="AN47" s="2" t="s">
        <v>151</v>
      </c>
      <c r="AO47" s="2" t="s">
        <v>740</v>
      </c>
      <c r="AP47" s="2"/>
      <c r="AQ47" s="2" t="s">
        <v>49</v>
      </c>
    </row>
    <row r="48" spans="1:43" ht="84">
      <c r="A48" s="2" t="s">
        <v>17</v>
      </c>
      <c r="B48" s="2" t="s">
        <v>334</v>
      </c>
      <c r="C48" s="2" t="s">
        <v>680</v>
      </c>
      <c r="D48" s="2"/>
      <c r="E48" s="2" t="s">
        <v>51</v>
      </c>
      <c r="F48" s="2" t="s">
        <v>562</v>
      </c>
      <c r="G48" s="2" t="s">
        <v>741</v>
      </c>
      <c r="H48" s="2"/>
      <c r="I48" s="2" t="s">
        <v>742</v>
      </c>
      <c r="J48" s="2"/>
      <c r="K48" s="2"/>
      <c r="L48" s="2"/>
      <c r="M48" s="2"/>
      <c r="N48" s="2" t="s">
        <v>8</v>
      </c>
      <c r="O48" s="2" t="s">
        <v>549</v>
      </c>
      <c r="P48" s="2"/>
      <c r="Q48" s="2"/>
      <c r="R48" s="2"/>
      <c r="S48" s="2"/>
      <c r="T48" s="2" t="s">
        <v>8</v>
      </c>
      <c r="U48" s="2" t="s">
        <v>549</v>
      </c>
      <c r="V48" s="2"/>
      <c r="W48" s="2" t="s">
        <v>8</v>
      </c>
      <c r="X48" s="2" t="s">
        <v>550</v>
      </c>
      <c r="Y48" s="2" t="s">
        <v>8</v>
      </c>
      <c r="Z48" s="2" t="s">
        <v>8</v>
      </c>
      <c r="AA48" s="2" t="s">
        <v>549</v>
      </c>
      <c r="AB48" s="2" t="s">
        <v>8</v>
      </c>
      <c r="AC48" s="2"/>
      <c r="AD48" s="2" t="s">
        <v>550</v>
      </c>
      <c r="AE48" s="2" t="s">
        <v>549</v>
      </c>
      <c r="AF48" s="2" t="s">
        <v>551</v>
      </c>
      <c r="AG48" s="2" t="s">
        <v>581</v>
      </c>
      <c r="AH48" s="2"/>
      <c r="AI48" s="2"/>
      <c r="AJ48" s="2"/>
      <c r="AK48" s="2"/>
      <c r="AL48" s="2"/>
      <c r="AM48" s="2" t="s">
        <v>336</v>
      </c>
      <c r="AN48" s="2" t="s">
        <v>335</v>
      </c>
      <c r="AO48" s="2" t="s">
        <v>743</v>
      </c>
      <c r="AP48" s="2"/>
      <c r="AQ48" s="2" t="s">
        <v>49</v>
      </c>
    </row>
    <row r="49" spans="1:43" ht="126">
      <c r="A49" s="2" t="s">
        <v>17</v>
      </c>
      <c r="B49" s="2" t="s">
        <v>337</v>
      </c>
      <c r="C49" s="2" t="s">
        <v>680</v>
      </c>
      <c r="D49" s="2"/>
      <c r="E49" s="2" t="s">
        <v>42</v>
      </c>
      <c r="F49" s="2" t="s">
        <v>546</v>
      </c>
      <c r="G49" s="2" t="s">
        <v>744</v>
      </c>
      <c r="H49" s="2">
        <v>3</v>
      </c>
      <c r="I49" s="2" t="s">
        <v>745</v>
      </c>
      <c r="J49" s="2"/>
      <c r="K49" s="2"/>
      <c r="L49" s="2"/>
      <c r="M49" s="2"/>
      <c r="N49" s="2" t="s">
        <v>8</v>
      </c>
      <c r="O49" s="2" t="s">
        <v>549</v>
      </c>
      <c r="P49" s="2"/>
      <c r="Q49" s="2"/>
      <c r="R49" s="2"/>
      <c r="S49" s="2"/>
      <c r="T49" s="2" t="s">
        <v>8</v>
      </c>
      <c r="U49" s="2" t="s">
        <v>549</v>
      </c>
      <c r="V49" s="2"/>
      <c r="W49" s="2" t="s">
        <v>8</v>
      </c>
      <c r="X49" s="2" t="s">
        <v>8</v>
      </c>
      <c r="Y49" s="2" t="s">
        <v>8</v>
      </c>
      <c r="Z49" s="2" t="s">
        <v>8</v>
      </c>
      <c r="AA49" s="2" t="s">
        <v>549</v>
      </c>
      <c r="AB49" s="2" t="s">
        <v>8</v>
      </c>
      <c r="AC49" s="2"/>
      <c r="AD49" s="2" t="s">
        <v>8</v>
      </c>
      <c r="AE49" s="2" t="s">
        <v>549</v>
      </c>
      <c r="AF49" s="2" t="s">
        <v>549</v>
      </c>
      <c r="AG49" s="2" t="s">
        <v>581</v>
      </c>
      <c r="AH49" s="2"/>
      <c r="AI49" s="2"/>
      <c r="AJ49" s="2"/>
      <c r="AK49" s="2"/>
      <c r="AL49" s="2"/>
      <c r="AM49" s="2" t="s">
        <v>339</v>
      </c>
      <c r="AN49" s="2" t="s">
        <v>338</v>
      </c>
      <c r="AO49" s="2" t="s">
        <v>746</v>
      </c>
      <c r="AP49" s="2"/>
      <c r="AQ49" s="2" t="s">
        <v>49</v>
      </c>
    </row>
    <row r="50" spans="1:43" ht="112">
      <c r="A50" s="2" t="s">
        <v>17</v>
      </c>
      <c r="B50" s="2" t="s">
        <v>154</v>
      </c>
      <c r="C50" s="2" t="s">
        <v>680</v>
      </c>
      <c r="D50" s="2"/>
      <c r="E50" s="2" t="s">
        <v>42</v>
      </c>
      <c r="F50" s="2" t="s">
        <v>562</v>
      </c>
      <c r="G50" s="2" t="s">
        <v>156</v>
      </c>
      <c r="H50" s="2">
        <v>6</v>
      </c>
      <c r="I50" s="2" t="s">
        <v>747</v>
      </c>
      <c r="J50" s="2"/>
      <c r="K50" s="2"/>
      <c r="L50" s="2"/>
      <c r="M50" s="2"/>
      <c r="N50" s="2" t="s">
        <v>8</v>
      </c>
      <c r="O50" s="2" t="s">
        <v>549</v>
      </c>
      <c r="P50" s="2"/>
      <c r="Q50" s="2"/>
      <c r="R50" s="2"/>
      <c r="S50" s="2"/>
      <c r="T50" s="2" t="s">
        <v>580</v>
      </c>
      <c r="U50" s="2" t="s">
        <v>549</v>
      </c>
      <c r="V50" s="2"/>
      <c r="W50" s="2" t="s">
        <v>8</v>
      </c>
      <c r="X50" s="2" t="s">
        <v>8</v>
      </c>
      <c r="Y50" s="2" t="s">
        <v>10</v>
      </c>
      <c r="Z50" s="2" t="s">
        <v>10</v>
      </c>
      <c r="AA50" s="2" t="s">
        <v>551</v>
      </c>
      <c r="AB50" s="2" t="s">
        <v>10</v>
      </c>
      <c r="AC50" s="2"/>
      <c r="AD50" s="2" t="s">
        <v>10</v>
      </c>
      <c r="AE50" s="2" t="s">
        <v>549</v>
      </c>
      <c r="AF50" s="2" t="s">
        <v>551</v>
      </c>
      <c r="AG50" s="2" t="s">
        <v>10</v>
      </c>
      <c r="AH50" s="2"/>
      <c r="AI50" s="2"/>
      <c r="AJ50" s="2"/>
      <c r="AK50" s="2"/>
      <c r="AL50" s="2"/>
      <c r="AM50" s="2" t="s">
        <v>748</v>
      </c>
      <c r="AN50" s="2" t="s">
        <v>157</v>
      </c>
      <c r="AO50" s="2" t="s">
        <v>749</v>
      </c>
      <c r="AP50" s="2"/>
      <c r="AQ50" s="2" t="s">
        <v>49</v>
      </c>
    </row>
    <row r="51" spans="1:43" ht="84">
      <c r="A51" s="2" t="s">
        <v>17</v>
      </c>
      <c r="B51" s="2" t="s">
        <v>750</v>
      </c>
      <c r="C51" s="2" t="s">
        <v>680</v>
      </c>
      <c r="D51" s="2"/>
      <c r="E51" s="2" t="s">
        <v>42</v>
      </c>
      <c r="F51" s="2" t="s">
        <v>562</v>
      </c>
      <c r="G51" s="2" t="s">
        <v>751</v>
      </c>
      <c r="H51" s="2">
        <v>4</v>
      </c>
      <c r="I51" s="2" t="s">
        <v>752</v>
      </c>
      <c r="J51" s="2"/>
      <c r="K51" s="2"/>
      <c r="L51" s="2"/>
      <c r="M51" s="2"/>
      <c r="N51" s="2" t="s">
        <v>8</v>
      </c>
      <c r="O51" s="2" t="s">
        <v>549</v>
      </c>
      <c r="P51" s="2"/>
      <c r="Q51" s="2"/>
      <c r="R51" s="2"/>
      <c r="S51" s="2"/>
      <c r="T51" s="2" t="s">
        <v>550</v>
      </c>
      <c r="U51" s="2" t="s">
        <v>549</v>
      </c>
      <c r="V51" s="2"/>
      <c r="W51" s="2" t="s">
        <v>8</v>
      </c>
      <c r="X51" s="2" t="s">
        <v>8</v>
      </c>
      <c r="Y51" s="2" t="s">
        <v>8</v>
      </c>
      <c r="Z51" s="2" t="s">
        <v>8</v>
      </c>
      <c r="AA51" s="2" t="s">
        <v>549</v>
      </c>
      <c r="AB51" s="2" t="s">
        <v>8</v>
      </c>
      <c r="AC51" s="2"/>
      <c r="AD51" s="2" t="s">
        <v>8</v>
      </c>
      <c r="AE51" s="2" t="s">
        <v>550</v>
      </c>
      <c r="AF51" s="2" t="s">
        <v>551</v>
      </c>
      <c r="AG51" s="2" t="s">
        <v>8</v>
      </c>
      <c r="AH51" s="2"/>
      <c r="AI51" s="2"/>
      <c r="AJ51" s="2"/>
      <c r="AK51" s="2"/>
      <c r="AL51" s="2"/>
      <c r="AM51" s="2" t="s">
        <v>753</v>
      </c>
      <c r="AN51" s="2" t="s">
        <v>754</v>
      </c>
      <c r="AO51" s="2" t="s">
        <v>755</v>
      </c>
      <c r="AP51" s="2"/>
      <c r="AQ51" s="2" t="s">
        <v>49</v>
      </c>
    </row>
    <row r="52" spans="1:43" ht="84">
      <c r="A52" s="2" t="s">
        <v>17</v>
      </c>
      <c r="B52" s="2" t="s">
        <v>340</v>
      </c>
      <c r="C52" s="2" t="s">
        <v>680</v>
      </c>
      <c r="D52" s="2"/>
      <c r="E52" s="2" t="s">
        <v>51</v>
      </c>
      <c r="F52" s="2" t="s">
        <v>572</v>
      </c>
      <c r="G52" s="2" t="s">
        <v>756</v>
      </c>
      <c r="H52" s="2"/>
      <c r="I52" s="2" t="s">
        <v>757</v>
      </c>
      <c r="J52" s="2"/>
      <c r="K52" s="2"/>
      <c r="L52" s="2"/>
      <c r="M52" s="2"/>
      <c r="N52" s="2" t="s">
        <v>8</v>
      </c>
      <c r="O52" s="2" t="s">
        <v>549</v>
      </c>
      <c r="P52" s="2"/>
      <c r="Q52" s="2"/>
      <c r="R52" s="2"/>
      <c r="S52" s="2"/>
      <c r="T52" s="2" t="s">
        <v>8</v>
      </c>
      <c r="U52" s="2" t="s">
        <v>549</v>
      </c>
      <c r="V52" s="2"/>
      <c r="W52" s="2" t="s">
        <v>8</v>
      </c>
      <c r="X52" s="2" t="s">
        <v>550</v>
      </c>
      <c r="Y52" s="2" t="s">
        <v>8</v>
      </c>
      <c r="Z52" s="2" t="s">
        <v>8</v>
      </c>
      <c r="AA52" s="2" t="s">
        <v>549</v>
      </c>
      <c r="AB52" s="2" t="s">
        <v>8</v>
      </c>
      <c r="AC52" s="2"/>
      <c r="AD52" s="2" t="s">
        <v>550</v>
      </c>
      <c r="AE52" s="2" t="s">
        <v>549</v>
      </c>
      <c r="AF52" s="2" t="s">
        <v>551</v>
      </c>
      <c r="AG52" s="2" t="s">
        <v>581</v>
      </c>
      <c r="AH52" s="2"/>
      <c r="AI52" s="2"/>
      <c r="AJ52" s="2"/>
      <c r="AK52" s="2"/>
      <c r="AL52" s="2"/>
      <c r="AM52" s="2" t="s">
        <v>342</v>
      </c>
      <c r="AN52" s="2" t="s">
        <v>341</v>
      </c>
      <c r="AO52" s="2" t="s">
        <v>758</v>
      </c>
      <c r="AP52" s="2"/>
      <c r="AQ52" s="2" t="s">
        <v>49</v>
      </c>
    </row>
    <row r="53" spans="1:43" ht="112">
      <c r="A53" s="2" t="s">
        <v>17</v>
      </c>
      <c r="B53" s="2" t="s">
        <v>160</v>
      </c>
      <c r="C53" s="2" t="s">
        <v>680</v>
      </c>
      <c r="D53" s="2"/>
      <c r="E53" s="2" t="s">
        <v>51</v>
      </c>
      <c r="F53" s="2" t="s">
        <v>562</v>
      </c>
      <c r="G53" s="2" t="s">
        <v>162</v>
      </c>
      <c r="H53" s="2">
        <v>6</v>
      </c>
      <c r="I53" s="2" t="s">
        <v>759</v>
      </c>
      <c r="J53" s="2"/>
      <c r="K53" s="2"/>
      <c r="L53" s="2"/>
      <c r="M53" s="2"/>
      <c r="N53" s="2" t="s">
        <v>8</v>
      </c>
      <c r="O53" s="2" t="s">
        <v>549</v>
      </c>
      <c r="P53" s="2"/>
      <c r="Q53" s="2"/>
      <c r="R53" s="2"/>
      <c r="S53" s="2"/>
      <c r="T53" s="2" t="s">
        <v>550</v>
      </c>
      <c r="U53" s="2" t="s">
        <v>549</v>
      </c>
      <c r="V53" s="2"/>
      <c r="W53" s="2" t="s">
        <v>8</v>
      </c>
      <c r="X53" s="2" t="s">
        <v>8</v>
      </c>
      <c r="Y53" s="2" t="s">
        <v>10</v>
      </c>
      <c r="Z53" s="2" t="s">
        <v>10</v>
      </c>
      <c r="AA53" s="2" t="s">
        <v>551</v>
      </c>
      <c r="AB53" s="2" t="s">
        <v>10</v>
      </c>
      <c r="AC53" s="2"/>
      <c r="AD53" s="2" t="s">
        <v>10</v>
      </c>
      <c r="AE53" s="2" t="s">
        <v>549</v>
      </c>
      <c r="AF53" s="2" t="s">
        <v>551</v>
      </c>
      <c r="AG53" s="2" t="s">
        <v>10</v>
      </c>
      <c r="AH53" s="2"/>
      <c r="AI53" s="2"/>
      <c r="AJ53" s="2"/>
      <c r="AK53" s="2"/>
      <c r="AL53" s="2"/>
      <c r="AM53" s="2" t="s">
        <v>760</v>
      </c>
      <c r="AN53" s="2" t="s">
        <v>163</v>
      </c>
      <c r="AO53" s="2" t="s">
        <v>761</v>
      </c>
      <c r="AP53" s="2"/>
      <c r="AQ53" s="2" t="s">
        <v>49</v>
      </c>
    </row>
    <row r="54" spans="1:43" ht="112">
      <c r="A54" s="2" t="s">
        <v>17</v>
      </c>
      <c r="B54" s="2" t="s">
        <v>343</v>
      </c>
      <c r="C54" s="2" t="s">
        <v>680</v>
      </c>
      <c r="D54" s="2"/>
      <c r="E54" s="2" t="s">
        <v>42</v>
      </c>
      <c r="F54" s="2" t="s">
        <v>546</v>
      </c>
      <c r="G54" s="2" t="s">
        <v>762</v>
      </c>
      <c r="H54" s="2">
        <v>6</v>
      </c>
      <c r="I54" s="2" t="s">
        <v>763</v>
      </c>
      <c r="J54" s="2"/>
      <c r="K54" s="2"/>
      <c r="L54" s="2"/>
      <c r="M54" s="2"/>
      <c r="N54" s="2" t="s">
        <v>8</v>
      </c>
      <c r="O54" s="2" t="s">
        <v>549</v>
      </c>
      <c r="P54" s="2"/>
      <c r="Q54" s="2"/>
      <c r="R54" s="2"/>
      <c r="S54" s="2"/>
      <c r="T54" s="2" t="s">
        <v>550</v>
      </c>
      <c r="U54" s="2" t="s">
        <v>549</v>
      </c>
      <c r="V54" s="2"/>
      <c r="W54" s="2" t="s">
        <v>8</v>
      </c>
      <c r="X54" s="2" t="s">
        <v>550</v>
      </c>
      <c r="Y54" s="2" t="s">
        <v>8</v>
      </c>
      <c r="Z54" s="2" t="s">
        <v>8</v>
      </c>
      <c r="AA54" s="2" t="s">
        <v>549</v>
      </c>
      <c r="AB54" s="2" t="s">
        <v>8</v>
      </c>
      <c r="AC54" s="2"/>
      <c r="AD54" s="2" t="s">
        <v>550</v>
      </c>
      <c r="AE54" s="2" t="s">
        <v>549</v>
      </c>
      <c r="AF54" s="2" t="s">
        <v>549</v>
      </c>
      <c r="AG54" s="2" t="s">
        <v>581</v>
      </c>
      <c r="AH54" s="2"/>
      <c r="AI54" s="2"/>
      <c r="AJ54" s="2"/>
      <c r="AK54" s="2"/>
      <c r="AL54" s="2"/>
      <c r="AM54" s="2" t="s">
        <v>345</v>
      </c>
      <c r="AN54" s="2" t="s">
        <v>344</v>
      </c>
      <c r="AO54" s="2" t="s">
        <v>764</v>
      </c>
      <c r="AP54" s="2"/>
      <c r="AQ54" s="2" t="s">
        <v>49</v>
      </c>
    </row>
    <row r="55" spans="1:43" ht="70">
      <c r="A55" s="2" t="s">
        <v>17</v>
      </c>
      <c r="B55" s="2" t="s">
        <v>765</v>
      </c>
      <c r="C55" s="2" t="s">
        <v>680</v>
      </c>
      <c r="D55" s="2"/>
      <c r="E55" s="2" t="s">
        <v>51</v>
      </c>
      <c r="F55" s="2" t="s">
        <v>546</v>
      </c>
      <c r="G55" s="2" t="s">
        <v>766</v>
      </c>
      <c r="H55" s="2">
        <v>151</v>
      </c>
      <c r="I55" s="2" t="s">
        <v>767</v>
      </c>
      <c r="J55" s="2"/>
      <c r="K55" s="2"/>
      <c r="L55" s="2"/>
      <c r="M55" s="2"/>
      <c r="N55" s="2" t="s">
        <v>8</v>
      </c>
      <c r="O55" s="2" t="s">
        <v>549</v>
      </c>
      <c r="P55" s="2"/>
      <c r="Q55" s="2"/>
      <c r="R55" s="2"/>
      <c r="S55" s="2"/>
      <c r="T55" s="2" t="s">
        <v>550</v>
      </c>
      <c r="U55" s="2" t="s">
        <v>549</v>
      </c>
      <c r="V55" s="2"/>
      <c r="W55" s="2" t="s">
        <v>8</v>
      </c>
      <c r="X55" s="2" t="s">
        <v>550</v>
      </c>
      <c r="Y55" s="2" t="s">
        <v>8</v>
      </c>
      <c r="Z55" s="2" t="s">
        <v>8</v>
      </c>
      <c r="AA55" s="2" t="s">
        <v>549</v>
      </c>
      <c r="AB55" s="2" t="s">
        <v>8</v>
      </c>
      <c r="AC55" s="2"/>
      <c r="AD55" s="2" t="s">
        <v>550</v>
      </c>
      <c r="AE55" s="2" t="s">
        <v>550</v>
      </c>
      <c r="AF55" s="2" t="s">
        <v>549</v>
      </c>
      <c r="AG55" s="2" t="s">
        <v>8</v>
      </c>
      <c r="AH55" s="2"/>
      <c r="AI55" s="2"/>
      <c r="AJ55" s="2"/>
      <c r="AK55" s="2"/>
      <c r="AL55" s="2"/>
      <c r="AM55" s="2" t="s">
        <v>768</v>
      </c>
      <c r="AN55" s="2" t="s">
        <v>769</v>
      </c>
      <c r="AO55" s="2" t="s">
        <v>770</v>
      </c>
      <c r="AP55" s="2"/>
      <c r="AQ55" s="2" t="s">
        <v>49</v>
      </c>
    </row>
    <row r="56" spans="1:43" ht="126">
      <c r="A56" s="2" t="s">
        <v>17</v>
      </c>
      <c r="B56" s="2" t="s">
        <v>166</v>
      </c>
      <c r="C56" s="2" t="s">
        <v>680</v>
      </c>
      <c r="D56" s="2"/>
      <c r="E56" s="2" t="s">
        <v>51</v>
      </c>
      <c r="F56" s="2" t="s">
        <v>546</v>
      </c>
      <c r="G56" s="2" t="s">
        <v>168</v>
      </c>
      <c r="H56" s="2">
        <v>6</v>
      </c>
      <c r="I56" s="2" t="s">
        <v>771</v>
      </c>
      <c r="J56" s="2"/>
      <c r="K56" s="2"/>
      <c r="L56" s="2"/>
      <c r="M56" s="2"/>
      <c r="N56" s="2" t="s">
        <v>10</v>
      </c>
      <c r="O56" s="2" t="s">
        <v>549</v>
      </c>
      <c r="P56" s="2"/>
      <c r="Q56" s="2"/>
      <c r="R56" s="2"/>
      <c r="S56" s="2"/>
      <c r="T56" s="2" t="s">
        <v>550</v>
      </c>
      <c r="U56" s="2" t="s">
        <v>549</v>
      </c>
      <c r="V56" s="2"/>
      <c r="W56" s="2" t="s">
        <v>10</v>
      </c>
      <c r="X56" s="2" t="s">
        <v>550</v>
      </c>
      <c r="Y56" s="2" t="s">
        <v>8</v>
      </c>
      <c r="Z56" s="2" t="s">
        <v>8</v>
      </c>
      <c r="AA56" s="2" t="s">
        <v>551</v>
      </c>
      <c r="AB56" s="2" t="s">
        <v>10</v>
      </c>
      <c r="AC56" s="2"/>
      <c r="AD56" s="2" t="s">
        <v>550</v>
      </c>
      <c r="AE56" s="2" t="s">
        <v>549</v>
      </c>
      <c r="AF56" s="2" t="s">
        <v>549</v>
      </c>
      <c r="AG56" s="2" t="s">
        <v>10</v>
      </c>
      <c r="AH56" s="2"/>
      <c r="AI56" s="2"/>
      <c r="AJ56" s="2"/>
      <c r="AK56" s="2"/>
      <c r="AL56" s="2"/>
      <c r="AM56" s="2" t="s">
        <v>772</v>
      </c>
      <c r="AN56" s="2" t="s">
        <v>169</v>
      </c>
      <c r="AO56" s="2" t="s">
        <v>773</v>
      </c>
      <c r="AP56" s="2"/>
      <c r="AQ56" s="2" t="s">
        <v>49</v>
      </c>
    </row>
    <row r="57" spans="1:43" ht="98">
      <c r="A57" s="2" t="s">
        <v>17</v>
      </c>
      <c r="B57" s="2" t="s">
        <v>346</v>
      </c>
      <c r="C57" s="2" t="s">
        <v>680</v>
      </c>
      <c r="D57" s="2"/>
      <c r="E57" s="2" t="s">
        <v>51</v>
      </c>
      <c r="F57" s="2" t="s">
        <v>572</v>
      </c>
      <c r="G57" s="2" t="s">
        <v>774</v>
      </c>
      <c r="H57" s="2">
        <v>15715</v>
      </c>
      <c r="I57" s="2" t="s">
        <v>775</v>
      </c>
      <c r="J57" s="2"/>
      <c r="K57" s="2"/>
      <c r="L57" s="2"/>
      <c r="M57" s="2"/>
      <c r="N57" s="2" t="s">
        <v>8</v>
      </c>
      <c r="O57" s="2" t="s">
        <v>549</v>
      </c>
      <c r="P57" s="2"/>
      <c r="Q57" s="2"/>
      <c r="R57" s="2"/>
      <c r="S57" s="2"/>
      <c r="T57" s="2" t="s">
        <v>550</v>
      </c>
      <c r="U57" s="2" t="s">
        <v>549</v>
      </c>
      <c r="V57" s="2"/>
      <c r="W57" s="2" t="s">
        <v>8</v>
      </c>
      <c r="X57" s="2" t="s">
        <v>550</v>
      </c>
      <c r="Y57" s="2" t="s">
        <v>8</v>
      </c>
      <c r="Z57" s="2" t="s">
        <v>8</v>
      </c>
      <c r="AA57" s="2" t="s">
        <v>549</v>
      </c>
      <c r="AB57" s="2" t="s">
        <v>8</v>
      </c>
      <c r="AC57" s="2"/>
      <c r="AD57" s="2" t="s">
        <v>550</v>
      </c>
      <c r="AE57" s="2" t="s">
        <v>549</v>
      </c>
      <c r="AF57" s="2" t="s">
        <v>549</v>
      </c>
      <c r="AG57" s="2" t="s">
        <v>581</v>
      </c>
      <c r="AH57" s="2"/>
      <c r="AI57" s="2"/>
      <c r="AJ57" s="2"/>
      <c r="AK57" s="2"/>
      <c r="AL57" s="2"/>
      <c r="AM57" s="2" t="s">
        <v>348</v>
      </c>
      <c r="AN57" s="2" t="s">
        <v>347</v>
      </c>
      <c r="AO57" s="2" t="s">
        <v>776</v>
      </c>
      <c r="AP57" s="2"/>
      <c r="AQ57" s="2" t="s">
        <v>49</v>
      </c>
    </row>
    <row r="58" spans="1:43" ht="112">
      <c r="A58" s="2" t="s">
        <v>17</v>
      </c>
      <c r="B58" s="2" t="s">
        <v>349</v>
      </c>
      <c r="C58" s="2" t="s">
        <v>680</v>
      </c>
      <c r="D58" s="2"/>
      <c r="E58" s="2" t="s">
        <v>51</v>
      </c>
      <c r="F58" s="2" t="s">
        <v>562</v>
      </c>
      <c r="G58" s="2" t="s">
        <v>777</v>
      </c>
      <c r="H58" s="2">
        <v>1</v>
      </c>
      <c r="I58" s="2" t="s">
        <v>778</v>
      </c>
      <c r="J58" s="2"/>
      <c r="K58" s="2"/>
      <c r="L58" s="2"/>
      <c r="M58" s="2"/>
      <c r="N58" s="2" t="s">
        <v>8</v>
      </c>
      <c r="O58" s="2" t="s">
        <v>549</v>
      </c>
      <c r="P58" s="2"/>
      <c r="Q58" s="2"/>
      <c r="R58" s="2"/>
      <c r="S58" s="2"/>
      <c r="T58" s="2" t="s">
        <v>550</v>
      </c>
      <c r="U58" s="2" t="s">
        <v>549</v>
      </c>
      <c r="V58" s="2"/>
      <c r="W58" s="2" t="s">
        <v>8</v>
      </c>
      <c r="X58" s="2" t="s">
        <v>550</v>
      </c>
      <c r="Y58" s="2" t="s">
        <v>8</v>
      </c>
      <c r="Z58" s="2" t="s">
        <v>8</v>
      </c>
      <c r="AA58" s="2" t="s">
        <v>549</v>
      </c>
      <c r="AB58" s="2" t="s">
        <v>8</v>
      </c>
      <c r="AC58" s="2"/>
      <c r="AD58" s="2" t="s">
        <v>550</v>
      </c>
      <c r="AE58" s="2" t="s">
        <v>549</v>
      </c>
      <c r="AF58" s="2" t="s">
        <v>549</v>
      </c>
      <c r="AG58" s="2" t="s">
        <v>581</v>
      </c>
      <c r="AH58" s="2"/>
      <c r="AI58" s="2"/>
      <c r="AJ58" s="2"/>
      <c r="AK58" s="2"/>
      <c r="AL58" s="2"/>
      <c r="AM58" s="2" t="s">
        <v>351</v>
      </c>
      <c r="AN58" s="2" t="s">
        <v>350</v>
      </c>
      <c r="AO58" s="2" t="s">
        <v>779</v>
      </c>
      <c r="AP58" s="2"/>
      <c r="AQ58" s="2" t="s">
        <v>49</v>
      </c>
    </row>
    <row r="59" spans="1:43" ht="112">
      <c r="A59" s="2" t="s">
        <v>17</v>
      </c>
      <c r="B59" s="2" t="s">
        <v>172</v>
      </c>
      <c r="C59" s="2" t="s">
        <v>680</v>
      </c>
      <c r="D59" s="2"/>
      <c r="E59" s="2" t="s">
        <v>42</v>
      </c>
      <c r="F59" s="2" t="s">
        <v>572</v>
      </c>
      <c r="G59" s="2" t="s">
        <v>174</v>
      </c>
      <c r="H59" s="2">
        <v>12</v>
      </c>
      <c r="I59" s="2" t="s">
        <v>780</v>
      </c>
      <c r="J59" s="2"/>
      <c r="K59" s="2"/>
      <c r="L59" s="2"/>
      <c r="M59" s="2"/>
      <c r="N59" s="2" t="s">
        <v>10</v>
      </c>
      <c r="O59" s="2" t="s">
        <v>549</v>
      </c>
      <c r="P59" s="2"/>
      <c r="Q59" s="2"/>
      <c r="R59" s="2"/>
      <c r="S59" s="2"/>
      <c r="T59" s="2" t="s">
        <v>550</v>
      </c>
      <c r="U59" s="2" t="s">
        <v>549</v>
      </c>
      <c r="V59" s="2"/>
      <c r="W59" s="2" t="s">
        <v>8</v>
      </c>
      <c r="X59" s="2" t="s">
        <v>8</v>
      </c>
      <c r="Y59" s="2" t="s">
        <v>10</v>
      </c>
      <c r="Z59" s="2" t="s">
        <v>10</v>
      </c>
      <c r="AA59" s="2" t="s">
        <v>551</v>
      </c>
      <c r="AB59" s="2" t="s">
        <v>10</v>
      </c>
      <c r="AC59" s="2"/>
      <c r="AD59" s="2" t="s">
        <v>8</v>
      </c>
      <c r="AE59" s="2" t="s">
        <v>549</v>
      </c>
      <c r="AF59" s="2" t="s">
        <v>551</v>
      </c>
      <c r="AG59" s="2" t="s">
        <v>10</v>
      </c>
      <c r="AH59" s="2"/>
      <c r="AI59" s="2"/>
      <c r="AJ59" s="2"/>
      <c r="AK59" s="2"/>
      <c r="AL59" s="2"/>
      <c r="AM59" s="2" t="s">
        <v>781</v>
      </c>
      <c r="AN59" s="2" t="s">
        <v>175</v>
      </c>
      <c r="AO59" s="2" t="s">
        <v>782</v>
      </c>
      <c r="AP59" s="2"/>
      <c r="AQ59" s="2" t="s">
        <v>49</v>
      </c>
    </row>
    <row r="60" spans="1:43" ht="126">
      <c r="A60" s="2" t="s">
        <v>17</v>
      </c>
      <c r="B60" s="2" t="s">
        <v>352</v>
      </c>
      <c r="C60" s="2" t="s">
        <v>680</v>
      </c>
      <c r="D60" s="2"/>
      <c r="E60" s="2" t="s">
        <v>42</v>
      </c>
      <c r="F60" s="2" t="s">
        <v>562</v>
      </c>
      <c r="G60" s="2" t="s">
        <v>783</v>
      </c>
      <c r="H60" s="2">
        <v>2</v>
      </c>
      <c r="I60" s="2" t="s">
        <v>784</v>
      </c>
      <c r="J60" s="2"/>
      <c r="K60" s="2"/>
      <c r="L60" s="2"/>
      <c r="M60" s="2"/>
      <c r="N60" s="2" t="s">
        <v>8</v>
      </c>
      <c r="O60" s="2" t="s">
        <v>549</v>
      </c>
      <c r="P60" s="2"/>
      <c r="Q60" s="2"/>
      <c r="R60" s="2"/>
      <c r="S60" s="2"/>
      <c r="T60" s="2" t="s">
        <v>550</v>
      </c>
      <c r="U60" s="2" t="s">
        <v>549</v>
      </c>
      <c r="V60" s="2"/>
      <c r="W60" s="2" t="s">
        <v>8</v>
      </c>
      <c r="X60" s="2" t="s">
        <v>8</v>
      </c>
      <c r="Y60" s="2" t="s">
        <v>8</v>
      </c>
      <c r="Z60" s="2" t="s">
        <v>8</v>
      </c>
      <c r="AA60" s="2" t="s">
        <v>549</v>
      </c>
      <c r="AB60" s="2" t="s">
        <v>8</v>
      </c>
      <c r="AC60" s="2"/>
      <c r="AD60" s="2" t="s">
        <v>8</v>
      </c>
      <c r="AE60" s="2" t="s">
        <v>549</v>
      </c>
      <c r="AF60" s="2" t="s">
        <v>549</v>
      </c>
      <c r="AG60" s="2" t="s">
        <v>581</v>
      </c>
      <c r="AH60" s="2"/>
      <c r="AI60" s="2"/>
      <c r="AJ60" s="2"/>
      <c r="AK60" s="2"/>
      <c r="AL60" s="2"/>
      <c r="AM60" s="2" t="s">
        <v>354</v>
      </c>
      <c r="AN60" s="2" t="s">
        <v>353</v>
      </c>
      <c r="AO60" s="2" t="s">
        <v>785</v>
      </c>
      <c r="AP60" s="2"/>
      <c r="AQ60" s="2" t="s">
        <v>49</v>
      </c>
    </row>
    <row r="61" spans="1:43" ht="98">
      <c r="A61" s="2" t="s">
        <v>17</v>
      </c>
      <c r="B61" s="2" t="s">
        <v>355</v>
      </c>
      <c r="C61" s="2" t="s">
        <v>680</v>
      </c>
      <c r="D61" s="2"/>
      <c r="E61" s="2" t="s">
        <v>118</v>
      </c>
      <c r="F61" s="2" t="s">
        <v>562</v>
      </c>
      <c r="G61" s="2" t="s">
        <v>786</v>
      </c>
      <c r="H61" s="2">
        <v>1</v>
      </c>
      <c r="I61" s="2" t="s">
        <v>787</v>
      </c>
      <c r="J61" s="2"/>
      <c r="K61" s="2"/>
      <c r="L61" s="2"/>
      <c r="M61" s="2"/>
      <c r="N61" s="2" t="s">
        <v>550</v>
      </c>
      <c r="O61" s="2" t="s">
        <v>549</v>
      </c>
      <c r="P61" s="2"/>
      <c r="Q61" s="2"/>
      <c r="R61" s="2"/>
      <c r="S61" s="2"/>
      <c r="T61" s="2" t="s">
        <v>550</v>
      </c>
      <c r="U61" s="2" t="s">
        <v>549</v>
      </c>
      <c r="V61" s="2"/>
      <c r="W61" s="2" t="s">
        <v>8</v>
      </c>
      <c r="X61" s="2" t="s">
        <v>550</v>
      </c>
      <c r="Y61" s="2" t="s">
        <v>8</v>
      </c>
      <c r="Z61" s="2" t="s">
        <v>8</v>
      </c>
      <c r="AA61" s="2" t="s">
        <v>549</v>
      </c>
      <c r="AB61" s="2" t="s">
        <v>8</v>
      </c>
      <c r="AC61" s="2"/>
      <c r="AD61" s="2" t="s">
        <v>550</v>
      </c>
      <c r="AE61" s="2" t="s">
        <v>549</v>
      </c>
      <c r="AF61" s="2" t="s">
        <v>551</v>
      </c>
      <c r="AG61" s="2" t="s">
        <v>581</v>
      </c>
      <c r="AH61" s="2"/>
      <c r="AI61" s="2"/>
      <c r="AJ61" s="2"/>
      <c r="AK61" s="2"/>
      <c r="AL61" s="2"/>
      <c r="AM61" s="2" t="s">
        <v>357</v>
      </c>
      <c r="AN61" s="2" t="s">
        <v>356</v>
      </c>
      <c r="AO61" s="2" t="s">
        <v>788</v>
      </c>
      <c r="AP61" s="2"/>
      <c r="AQ61" s="2" t="s">
        <v>49</v>
      </c>
    </row>
    <row r="62" spans="1:43" ht="112">
      <c r="A62" s="2" t="s">
        <v>17</v>
      </c>
      <c r="B62" s="2" t="s">
        <v>358</v>
      </c>
      <c r="C62" s="2" t="s">
        <v>680</v>
      </c>
      <c r="D62" s="2"/>
      <c r="E62" s="2" t="s">
        <v>118</v>
      </c>
      <c r="F62" s="2" t="s">
        <v>546</v>
      </c>
      <c r="G62" s="2" t="s">
        <v>789</v>
      </c>
      <c r="H62" s="2">
        <v>1</v>
      </c>
      <c r="I62" s="2" t="s">
        <v>790</v>
      </c>
      <c r="J62" s="2"/>
      <c r="K62" s="2"/>
      <c r="L62" s="2"/>
      <c r="M62" s="2"/>
      <c r="N62" s="2" t="s">
        <v>550</v>
      </c>
      <c r="O62" s="2" t="s">
        <v>549</v>
      </c>
      <c r="P62" s="2"/>
      <c r="Q62" s="2"/>
      <c r="R62" s="2"/>
      <c r="S62" s="2"/>
      <c r="T62" s="2" t="s">
        <v>550</v>
      </c>
      <c r="U62" s="2" t="s">
        <v>549</v>
      </c>
      <c r="V62" s="2"/>
      <c r="W62" s="2" t="s">
        <v>8</v>
      </c>
      <c r="X62" s="2" t="s">
        <v>8</v>
      </c>
      <c r="Y62" s="2" t="s">
        <v>8</v>
      </c>
      <c r="Z62" s="2" t="s">
        <v>8</v>
      </c>
      <c r="AA62" s="2" t="s">
        <v>549</v>
      </c>
      <c r="AB62" s="2" t="s">
        <v>8</v>
      </c>
      <c r="AC62" s="2"/>
      <c r="AD62" s="2" t="s">
        <v>8</v>
      </c>
      <c r="AE62" s="2" t="s">
        <v>549</v>
      </c>
      <c r="AF62" s="2" t="s">
        <v>551</v>
      </c>
      <c r="AG62" s="2" t="s">
        <v>581</v>
      </c>
      <c r="AH62" s="2"/>
      <c r="AI62" s="2"/>
      <c r="AJ62" s="2"/>
      <c r="AK62" s="2"/>
      <c r="AL62" s="2"/>
      <c r="AM62" s="2" t="s">
        <v>360</v>
      </c>
      <c r="AN62" s="2" t="s">
        <v>359</v>
      </c>
      <c r="AO62" s="2" t="s">
        <v>791</v>
      </c>
      <c r="AP62" s="2"/>
      <c r="AQ62" s="2" t="s">
        <v>49</v>
      </c>
    </row>
    <row r="63" spans="1:43" ht="84">
      <c r="A63" s="2" t="s">
        <v>17</v>
      </c>
      <c r="B63" s="2" t="s">
        <v>792</v>
      </c>
      <c r="C63" s="2" t="s">
        <v>680</v>
      </c>
      <c r="D63" s="2"/>
      <c r="E63" s="2" t="s">
        <v>118</v>
      </c>
      <c r="F63" s="2" t="s">
        <v>546</v>
      </c>
      <c r="G63" s="2" t="s">
        <v>793</v>
      </c>
      <c r="H63" s="2">
        <v>1</v>
      </c>
      <c r="I63" s="2" t="s">
        <v>794</v>
      </c>
      <c r="J63" s="2"/>
      <c r="K63" s="2"/>
      <c r="L63" s="2"/>
      <c r="M63" s="2"/>
      <c r="N63" s="2" t="s">
        <v>550</v>
      </c>
      <c r="O63" s="2" t="s">
        <v>549</v>
      </c>
      <c r="P63" s="2"/>
      <c r="Q63" s="2"/>
      <c r="R63" s="2"/>
      <c r="S63" s="2"/>
      <c r="T63" s="2" t="s">
        <v>550</v>
      </c>
      <c r="U63" s="2" t="s">
        <v>549</v>
      </c>
      <c r="V63" s="2"/>
      <c r="W63" s="2" t="s">
        <v>8</v>
      </c>
      <c r="X63" s="2" t="s">
        <v>550</v>
      </c>
      <c r="Y63" s="2" t="s">
        <v>8</v>
      </c>
      <c r="Z63" s="2" t="s">
        <v>8</v>
      </c>
      <c r="AA63" s="2" t="s">
        <v>549</v>
      </c>
      <c r="AB63" s="2" t="s">
        <v>8</v>
      </c>
      <c r="AC63" s="2"/>
      <c r="AD63" s="2" t="s">
        <v>550</v>
      </c>
      <c r="AE63" s="2" t="s">
        <v>550</v>
      </c>
      <c r="AF63" s="2" t="s">
        <v>551</v>
      </c>
      <c r="AG63" s="2" t="s">
        <v>8</v>
      </c>
      <c r="AH63" s="2"/>
      <c r="AI63" s="2"/>
      <c r="AJ63" s="2"/>
      <c r="AK63" s="2"/>
      <c r="AL63" s="2"/>
      <c r="AM63" s="2" t="s">
        <v>795</v>
      </c>
      <c r="AN63" s="2" t="s">
        <v>796</v>
      </c>
      <c r="AO63" s="2" t="s">
        <v>797</v>
      </c>
      <c r="AP63" s="2"/>
      <c r="AQ63" s="2" t="s">
        <v>49</v>
      </c>
    </row>
    <row r="64" spans="1:43" ht="112">
      <c r="A64" s="2" t="s">
        <v>17</v>
      </c>
      <c r="B64" s="2" t="s">
        <v>361</v>
      </c>
      <c r="C64" s="2" t="s">
        <v>680</v>
      </c>
      <c r="D64" s="2"/>
      <c r="E64" s="2" t="s">
        <v>118</v>
      </c>
      <c r="F64" s="2" t="s">
        <v>546</v>
      </c>
      <c r="G64" s="2" t="s">
        <v>798</v>
      </c>
      <c r="H64" s="2">
        <v>1</v>
      </c>
      <c r="I64" s="2" t="s">
        <v>799</v>
      </c>
      <c r="J64" s="2"/>
      <c r="K64" s="2"/>
      <c r="L64" s="2"/>
      <c r="M64" s="2"/>
      <c r="N64" s="2" t="s">
        <v>550</v>
      </c>
      <c r="O64" s="2" t="s">
        <v>549</v>
      </c>
      <c r="P64" s="2"/>
      <c r="Q64" s="2"/>
      <c r="R64" s="2"/>
      <c r="S64" s="2"/>
      <c r="T64" s="2" t="s">
        <v>8</v>
      </c>
      <c r="U64" s="2" t="s">
        <v>549</v>
      </c>
      <c r="V64" s="2"/>
      <c r="W64" s="2" t="s">
        <v>8</v>
      </c>
      <c r="X64" s="2" t="s">
        <v>8</v>
      </c>
      <c r="Y64" s="2" t="s">
        <v>8</v>
      </c>
      <c r="Z64" s="2" t="s">
        <v>8</v>
      </c>
      <c r="AA64" s="2" t="s">
        <v>549</v>
      </c>
      <c r="AB64" s="2" t="s">
        <v>8</v>
      </c>
      <c r="AC64" s="2"/>
      <c r="AD64" s="2" t="s">
        <v>8</v>
      </c>
      <c r="AE64" s="2" t="s">
        <v>549</v>
      </c>
      <c r="AF64" s="2" t="s">
        <v>551</v>
      </c>
      <c r="AG64" s="2" t="s">
        <v>581</v>
      </c>
      <c r="AH64" s="2"/>
      <c r="AI64" s="2"/>
      <c r="AJ64" s="2"/>
      <c r="AK64" s="2"/>
      <c r="AL64" s="2"/>
      <c r="AM64" s="2" t="s">
        <v>363</v>
      </c>
      <c r="AN64" s="2" t="s">
        <v>362</v>
      </c>
      <c r="AO64" s="2" t="s">
        <v>800</v>
      </c>
      <c r="AP64" s="2"/>
      <c r="AQ64" s="2" t="s">
        <v>49</v>
      </c>
    </row>
    <row r="65" spans="1:43" ht="98">
      <c r="A65" s="2" t="s">
        <v>17</v>
      </c>
      <c r="B65" s="2" t="s">
        <v>364</v>
      </c>
      <c r="C65" s="2" t="s">
        <v>680</v>
      </c>
      <c r="D65" s="2"/>
      <c r="E65" s="2" t="s">
        <v>118</v>
      </c>
      <c r="F65" s="2" t="s">
        <v>562</v>
      </c>
      <c r="G65" s="2" t="s">
        <v>801</v>
      </c>
      <c r="H65" s="2">
        <v>1</v>
      </c>
      <c r="I65" s="2" t="s">
        <v>802</v>
      </c>
      <c r="J65" s="2"/>
      <c r="K65" s="2"/>
      <c r="L65" s="2"/>
      <c r="M65" s="2"/>
      <c r="N65" s="2" t="s">
        <v>550</v>
      </c>
      <c r="O65" s="2" t="s">
        <v>549</v>
      </c>
      <c r="P65" s="2"/>
      <c r="Q65" s="2"/>
      <c r="R65" s="2"/>
      <c r="S65" s="2"/>
      <c r="T65" s="2" t="s">
        <v>8</v>
      </c>
      <c r="U65" s="2" t="s">
        <v>549</v>
      </c>
      <c r="V65" s="2"/>
      <c r="W65" s="2" t="s">
        <v>8</v>
      </c>
      <c r="X65" s="2" t="s">
        <v>550</v>
      </c>
      <c r="Y65" s="2" t="s">
        <v>8</v>
      </c>
      <c r="Z65" s="2" t="s">
        <v>8</v>
      </c>
      <c r="AA65" s="2" t="s">
        <v>549</v>
      </c>
      <c r="AB65" s="2" t="s">
        <v>8</v>
      </c>
      <c r="AC65" s="2"/>
      <c r="AD65" s="2" t="s">
        <v>550</v>
      </c>
      <c r="AE65" s="2" t="s">
        <v>549</v>
      </c>
      <c r="AF65" s="2" t="s">
        <v>549</v>
      </c>
      <c r="AG65" s="2" t="s">
        <v>581</v>
      </c>
      <c r="AH65" s="2"/>
      <c r="AI65" s="2"/>
      <c r="AJ65" s="2"/>
      <c r="AK65" s="2"/>
      <c r="AL65" s="2"/>
      <c r="AM65" s="2" t="s">
        <v>366</v>
      </c>
      <c r="AN65" s="2" t="s">
        <v>365</v>
      </c>
      <c r="AO65" s="2" t="s">
        <v>803</v>
      </c>
      <c r="AP65" s="2"/>
      <c r="AQ65" s="2" t="s">
        <v>49</v>
      </c>
    </row>
    <row r="66" spans="1:43" ht="112">
      <c r="A66" s="2" t="s">
        <v>17</v>
      </c>
      <c r="B66" s="2" t="s">
        <v>367</v>
      </c>
      <c r="C66" s="2" t="s">
        <v>680</v>
      </c>
      <c r="D66" s="2"/>
      <c r="E66" s="2" t="s">
        <v>118</v>
      </c>
      <c r="F66" s="2" t="s">
        <v>562</v>
      </c>
      <c r="G66" s="2" t="s">
        <v>804</v>
      </c>
      <c r="H66" s="2">
        <v>1</v>
      </c>
      <c r="I66" s="2" t="s">
        <v>805</v>
      </c>
      <c r="J66" s="2"/>
      <c r="K66" s="2"/>
      <c r="L66" s="2"/>
      <c r="M66" s="2"/>
      <c r="N66" s="2" t="s">
        <v>550</v>
      </c>
      <c r="O66" s="2" t="s">
        <v>549</v>
      </c>
      <c r="P66" s="2"/>
      <c r="Q66" s="2"/>
      <c r="R66" s="2"/>
      <c r="S66" s="2"/>
      <c r="T66" s="2" t="s">
        <v>8</v>
      </c>
      <c r="U66" s="2" t="s">
        <v>549</v>
      </c>
      <c r="V66" s="2"/>
      <c r="W66" s="2" t="s">
        <v>8</v>
      </c>
      <c r="X66" s="2" t="s">
        <v>550</v>
      </c>
      <c r="Y66" s="2" t="s">
        <v>8</v>
      </c>
      <c r="Z66" s="2" t="s">
        <v>8</v>
      </c>
      <c r="AA66" s="2" t="s">
        <v>549</v>
      </c>
      <c r="AB66" s="2" t="s">
        <v>8</v>
      </c>
      <c r="AC66" s="2"/>
      <c r="AD66" s="2" t="s">
        <v>550</v>
      </c>
      <c r="AE66" s="2" t="s">
        <v>549</v>
      </c>
      <c r="AF66" s="2" t="s">
        <v>549</v>
      </c>
      <c r="AG66" s="2" t="s">
        <v>581</v>
      </c>
      <c r="AH66" s="2"/>
      <c r="AI66" s="2"/>
      <c r="AJ66" s="2"/>
      <c r="AK66" s="2"/>
      <c r="AL66" s="2"/>
      <c r="AM66" s="2" t="s">
        <v>369</v>
      </c>
      <c r="AN66" s="2" t="s">
        <v>368</v>
      </c>
      <c r="AO66" s="2" t="s">
        <v>806</v>
      </c>
      <c r="AP66" s="2"/>
      <c r="AQ66" s="2" t="s">
        <v>49</v>
      </c>
    </row>
    <row r="67" spans="1:43" ht="112">
      <c r="A67" s="2" t="s">
        <v>17</v>
      </c>
      <c r="B67" s="2" t="s">
        <v>370</v>
      </c>
      <c r="C67" s="2" t="s">
        <v>680</v>
      </c>
      <c r="D67" s="2"/>
      <c r="E67" s="2" t="s">
        <v>42</v>
      </c>
      <c r="F67" s="2" t="s">
        <v>562</v>
      </c>
      <c r="G67" s="2" t="s">
        <v>807</v>
      </c>
      <c r="H67" s="2">
        <v>1616</v>
      </c>
      <c r="I67" s="2" t="s">
        <v>808</v>
      </c>
      <c r="J67" s="2"/>
      <c r="K67" s="2"/>
      <c r="L67" s="2"/>
      <c r="M67" s="2"/>
      <c r="N67" s="2" t="s">
        <v>8</v>
      </c>
      <c r="O67" s="2" t="s">
        <v>549</v>
      </c>
      <c r="P67" s="2"/>
      <c r="Q67" s="2"/>
      <c r="R67" s="2"/>
      <c r="S67" s="2"/>
      <c r="T67" s="2" t="s">
        <v>550</v>
      </c>
      <c r="U67" s="2" t="s">
        <v>549</v>
      </c>
      <c r="V67" s="2"/>
      <c r="W67" s="2" t="s">
        <v>8</v>
      </c>
      <c r="X67" s="2" t="s">
        <v>8</v>
      </c>
      <c r="Y67" s="2" t="s">
        <v>8</v>
      </c>
      <c r="Z67" s="2" t="s">
        <v>8</v>
      </c>
      <c r="AA67" s="2" t="s">
        <v>549</v>
      </c>
      <c r="AB67" s="2" t="s">
        <v>8</v>
      </c>
      <c r="AC67" s="2"/>
      <c r="AD67" s="2" t="s">
        <v>8</v>
      </c>
      <c r="AE67" s="2" t="s">
        <v>549</v>
      </c>
      <c r="AF67" s="2" t="s">
        <v>551</v>
      </c>
      <c r="AG67" s="2" t="s">
        <v>581</v>
      </c>
      <c r="AH67" s="2"/>
      <c r="AI67" s="2"/>
      <c r="AJ67" s="2"/>
      <c r="AK67" s="2"/>
      <c r="AL67" s="2"/>
      <c r="AM67" s="2" t="s">
        <v>372</v>
      </c>
      <c r="AN67" s="2" t="s">
        <v>371</v>
      </c>
      <c r="AO67" s="2" t="s">
        <v>809</v>
      </c>
      <c r="AP67" s="2"/>
      <c r="AQ67" s="2" t="s">
        <v>49</v>
      </c>
    </row>
    <row r="68" spans="1:43" ht="112">
      <c r="A68" s="2" t="s">
        <v>17</v>
      </c>
      <c r="B68" s="2" t="s">
        <v>178</v>
      </c>
      <c r="C68" s="2" t="s">
        <v>680</v>
      </c>
      <c r="D68" s="2"/>
      <c r="E68" s="2" t="s">
        <v>51</v>
      </c>
      <c r="F68" s="2" t="s">
        <v>572</v>
      </c>
      <c r="G68" s="2" t="s">
        <v>180</v>
      </c>
      <c r="H68" s="2">
        <v>5</v>
      </c>
      <c r="I68" s="2" t="s">
        <v>810</v>
      </c>
      <c r="J68" s="2"/>
      <c r="K68" s="2"/>
      <c r="L68" s="2"/>
      <c r="M68" s="2"/>
      <c r="N68" s="2" t="s">
        <v>10</v>
      </c>
      <c r="O68" s="2" t="s">
        <v>549</v>
      </c>
      <c r="P68" s="2"/>
      <c r="Q68" s="2"/>
      <c r="R68" s="2"/>
      <c r="S68" s="2"/>
      <c r="T68" s="2" t="s">
        <v>10</v>
      </c>
      <c r="U68" s="2" t="s">
        <v>549</v>
      </c>
      <c r="V68" s="2"/>
      <c r="W68" s="2" t="s">
        <v>8</v>
      </c>
      <c r="X68" s="2" t="s">
        <v>550</v>
      </c>
      <c r="Y68" s="2" t="s">
        <v>10</v>
      </c>
      <c r="Z68" s="2" t="s">
        <v>10</v>
      </c>
      <c r="AA68" s="2" t="s">
        <v>551</v>
      </c>
      <c r="AB68" s="2" t="s">
        <v>10</v>
      </c>
      <c r="AC68" s="2"/>
      <c r="AD68" s="2" t="s">
        <v>550</v>
      </c>
      <c r="AE68" s="2" t="s">
        <v>549</v>
      </c>
      <c r="AF68" s="2" t="s">
        <v>551</v>
      </c>
      <c r="AG68" s="2" t="s">
        <v>10</v>
      </c>
      <c r="AH68" s="2"/>
      <c r="AI68" s="2"/>
      <c r="AJ68" s="2"/>
      <c r="AK68" s="2"/>
      <c r="AL68" s="2"/>
      <c r="AM68" s="2" t="s">
        <v>811</v>
      </c>
      <c r="AN68" s="2" t="s">
        <v>181</v>
      </c>
      <c r="AO68" s="2" t="s">
        <v>812</v>
      </c>
      <c r="AP68" s="2"/>
      <c r="AQ68" s="2" t="s">
        <v>49</v>
      </c>
    </row>
    <row r="69" spans="1:43" ht="98">
      <c r="A69" s="2" t="s">
        <v>17</v>
      </c>
      <c r="B69" s="2" t="s">
        <v>373</v>
      </c>
      <c r="C69" s="2" t="s">
        <v>680</v>
      </c>
      <c r="D69" s="2"/>
      <c r="E69" s="2" t="s">
        <v>42</v>
      </c>
      <c r="F69" s="2" t="s">
        <v>572</v>
      </c>
      <c r="G69" s="2" t="s">
        <v>813</v>
      </c>
      <c r="H69" s="2">
        <v>25</v>
      </c>
      <c r="I69" s="2" t="s">
        <v>814</v>
      </c>
      <c r="J69" s="2"/>
      <c r="K69" s="2"/>
      <c r="L69" s="2"/>
      <c r="M69" s="2"/>
      <c r="N69" s="2" t="s">
        <v>8</v>
      </c>
      <c r="O69" s="2" t="s">
        <v>549</v>
      </c>
      <c r="P69" s="2"/>
      <c r="Q69" s="2"/>
      <c r="R69" s="2"/>
      <c r="S69" s="2"/>
      <c r="T69" s="2" t="s">
        <v>8</v>
      </c>
      <c r="U69" s="2" t="s">
        <v>549</v>
      </c>
      <c r="V69" s="2"/>
      <c r="W69" s="2" t="s">
        <v>8</v>
      </c>
      <c r="X69" s="2" t="s">
        <v>550</v>
      </c>
      <c r="Y69" s="2" t="s">
        <v>8</v>
      </c>
      <c r="Z69" s="2" t="s">
        <v>8</v>
      </c>
      <c r="AA69" s="2" t="s">
        <v>549</v>
      </c>
      <c r="AB69" s="2" t="s">
        <v>8</v>
      </c>
      <c r="AC69" s="2"/>
      <c r="AD69" s="2" t="s">
        <v>550</v>
      </c>
      <c r="AE69" s="2" t="s">
        <v>549</v>
      </c>
      <c r="AF69" s="2" t="s">
        <v>549</v>
      </c>
      <c r="AG69" s="2" t="s">
        <v>581</v>
      </c>
      <c r="AH69" s="2"/>
      <c r="AI69" s="2"/>
      <c r="AJ69" s="2"/>
      <c r="AK69" s="2"/>
      <c r="AL69" s="2"/>
      <c r="AM69" s="2" t="s">
        <v>375</v>
      </c>
      <c r="AN69" s="2" t="s">
        <v>374</v>
      </c>
      <c r="AO69" s="2" t="s">
        <v>815</v>
      </c>
      <c r="AP69" s="2"/>
      <c r="AQ69" s="2" t="s">
        <v>49</v>
      </c>
    </row>
    <row r="70" spans="1:43" ht="112">
      <c r="A70" s="2" t="s">
        <v>17</v>
      </c>
      <c r="B70" s="2" t="s">
        <v>376</v>
      </c>
      <c r="C70" s="2" t="s">
        <v>680</v>
      </c>
      <c r="D70" s="2"/>
      <c r="E70" s="2" t="s">
        <v>51</v>
      </c>
      <c r="F70" s="2" t="s">
        <v>562</v>
      </c>
      <c r="G70" s="2" t="s">
        <v>816</v>
      </c>
      <c r="H70" s="2">
        <v>5000</v>
      </c>
      <c r="I70" s="2" t="s">
        <v>817</v>
      </c>
      <c r="J70" s="2"/>
      <c r="K70" s="2"/>
      <c r="L70" s="2"/>
      <c r="M70" s="2"/>
      <c r="N70" s="2" t="s">
        <v>8</v>
      </c>
      <c r="O70" s="2" t="s">
        <v>549</v>
      </c>
      <c r="P70" s="2"/>
      <c r="Q70" s="2"/>
      <c r="R70" s="2"/>
      <c r="S70" s="2"/>
      <c r="T70" s="2" t="s">
        <v>8</v>
      </c>
      <c r="U70" s="2" t="s">
        <v>549</v>
      </c>
      <c r="V70" s="2"/>
      <c r="W70" s="2" t="s">
        <v>8</v>
      </c>
      <c r="X70" s="2" t="s">
        <v>550</v>
      </c>
      <c r="Y70" s="2" t="s">
        <v>8</v>
      </c>
      <c r="Z70" s="2" t="s">
        <v>8</v>
      </c>
      <c r="AA70" s="2" t="s">
        <v>549</v>
      </c>
      <c r="AB70" s="2" t="s">
        <v>8</v>
      </c>
      <c r="AC70" s="2"/>
      <c r="AD70" s="2" t="s">
        <v>550</v>
      </c>
      <c r="AE70" s="2" t="s">
        <v>549</v>
      </c>
      <c r="AF70" s="2" t="s">
        <v>551</v>
      </c>
      <c r="AG70" s="2" t="s">
        <v>581</v>
      </c>
      <c r="AH70" s="2"/>
      <c r="AI70" s="2"/>
      <c r="AJ70" s="2"/>
      <c r="AK70" s="2"/>
      <c r="AL70" s="2"/>
      <c r="AM70" s="2" t="s">
        <v>378</v>
      </c>
      <c r="AN70" s="2" t="s">
        <v>377</v>
      </c>
      <c r="AO70" s="2" t="s">
        <v>818</v>
      </c>
      <c r="AP70" s="2"/>
      <c r="AQ70" s="2" t="s">
        <v>49</v>
      </c>
    </row>
    <row r="71" spans="1:43" ht="56">
      <c r="A71" s="2" t="s">
        <v>19</v>
      </c>
      <c r="B71" s="2" t="s">
        <v>819</v>
      </c>
      <c r="C71" s="2" t="s">
        <v>545</v>
      </c>
      <c r="D71" s="2"/>
      <c r="E71" s="2" t="s">
        <v>200</v>
      </c>
      <c r="F71" s="2" t="s">
        <v>572</v>
      </c>
      <c r="G71" s="2" t="s">
        <v>820</v>
      </c>
      <c r="H71" s="2" t="s">
        <v>821</v>
      </c>
      <c r="I71" s="2" t="s">
        <v>822</v>
      </c>
      <c r="J71" s="2" t="s">
        <v>823</v>
      </c>
      <c r="K71" s="2" t="s">
        <v>821</v>
      </c>
      <c r="L71" s="2" t="s">
        <v>821</v>
      </c>
      <c r="M71" s="2" t="s">
        <v>824</v>
      </c>
      <c r="N71" s="2" t="s">
        <v>824</v>
      </c>
      <c r="O71" s="2" t="s">
        <v>824</v>
      </c>
      <c r="P71" s="2" t="s">
        <v>825</v>
      </c>
      <c r="Q71" s="2" t="s">
        <v>825</v>
      </c>
      <c r="R71" s="2" t="s">
        <v>825</v>
      </c>
      <c r="S71" s="2" t="s">
        <v>826</v>
      </c>
      <c r="T71" s="2" t="s">
        <v>825</v>
      </c>
      <c r="U71" s="2"/>
      <c r="V71" s="2" t="s">
        <v>827</v>
      </c>
      <c r="W71" s="2"/>
      <c r="X71" s="2"/>
      <c r="Y71" s="2"/>
      <c r="Z71" s="2" t="s">
        <v>8</v>
      </c>
      <c r="AA71" s="2"/>
      <c r="AB71" s="2" t="s">
        <v>8</v>
      </c>
      <c r="AC71" s="2" t="s">
        <v>8</v>
      </c>
      <c r="AD71" s="2" t="s">
        <v>8</v>
      </c>
      <c r="AE71" s="2"/>
      <c r="AF71" s="2"/>
      <c r="AG71" s="2" t="s">
        <v>8</v>
      </c>
      <c r="AH71" s="3" t="b">
        <v>0</v>
      </c>
      <c r="AI71" s="2"/>
      <c r="AJ71" s="2"/>
      <c r="AK71" s="2"/>
      <c r="AL71" s="2"/>
      <c r="AM71" s="2"/>
      <c r="AN71" s="2" t="s">
        <v>828</v>
      </c>
      <c r="AO71" s="2"/>
      <c r="AP71" s="2"/>
      <c r="AQ71" s="2" t="s">
        <v>191</v>
      </c>
    </row>
    <row r="72" spans="1:43" ht="56">
      <c r="A72" s="2" t="s">
        <v>19</v>
      </c>
      <c r="B72" s="2" t="s">
        <v>829</v>
      </c>
      <c r="C72" s="2" t="s">
        <v>545</v>
      </c>
      <c r="D72" s="2"/>
      <c r="E72" s="2" t="s">
        <v>185</v>
      </c>
      <c r="F72" s="2" t="s">
        <v>562</v>
      </c>
      <c r="G72" s="2" t="s">
        <v>830</v>
      </c>
      <c r="H72" s="2" t="s">
        <v>821</v>
      </c>
      <c r="I72" s="2" t="s">
        <v>831</v>
      </c>
      <c r="J72" s="2" t="s">
        <v>832</v>
      </c>
      <c r="K72" s="2" t="s">
        <v>821</v>
      </c>
      <c r="L72" s="2" t="s">
        <v>821</v>
      </c>
      <c r="M72" s="2" t="s">
        <v>824</v>
      </c>
      <c r="N72" s="2" t="s">
        <v>824</v>
      </c>
      <c r="O72" s="2" t="s">
        <v>824</v>
      </c>
      <c r="P72" s="2" t="s">
        <v>825</v>
      </c>
      <c r="Q72" s="2" t="s">
        <v>825</v>
      </c>
      <c r="R72" s="2" t="s">
        <v>825</v>
      </c>
      <c r="S72" s="2" t="s">
        <v>826</v>
      </c>
      <c r="T72" s="2" t="s">
        <v>825</v>
      </c>
      <c r="U72" s="2"/>
      <c r="V72" s="2" t="s">
        <v>827</v>
      </c>
      <c r="W72" s="2"/>
      <c r="X72" s="2"/>
      <c r="Y72" s="2"/>
      <c r="Z72" s="2" t="s">
        <v>8</v>
      </c>
      <c r="AA72" s="2"/>
      <c r="AB72" s="2" t="s">
        <v>8</v>
      </c>
      <c r="AC72" s="2" t="s">
        <v>8</v>
      </c>
      <c r="AD72" s="2" t="s">
        <v>8</v>
      </c>
      <c r="AE72" s="2"/>
      <c r="AF72" s="2"/>
      <c r="AG72" s="2" t="s">
        <v>8</v>
      </c>
      <c r="AH72" s="3" t="b">
        <v>0</v>
      </c>
      <c r="AI72" s="2"/>
      <c r="AJ72" s="2"/>
      <c r="AK72" s="2"/>
      <c r="AL72" s="2"/>
      <c r="AM72" s="2"/>
      <c r="AN72" s="2" t="s">
        <v>833</v>
      </c>
      <c r="AO72" s="2"/>
      <c r="AP72" s="2"/>
      <c r="AQ72" s="2" t="s">
        <v>191</v>
      </c>
    </row>
    <row r="73" spans="1:43" ht="56">
      <c r="A73" s="2" t="s">
        <v>19</v>
      </c>
      <c r="B73" s="2" t="s">
        <v>834</v>
      </c>
      <c r="C73" s="2" t="s">
        <v>545</v>
      </c>
      <c r="D73" s="2"/>
      <c r="E73" s="2" t="s">
        <v>185</v>
      </c>
      <c r="F73" s="2" t="s">
        <v>546</v>
      </c>
      <c r="G73" s="2" t="s">
        <v>835</v>
      </c>
      <c r="H73" s="2" t="s">
        <v>821</v>
      </c>
      <c r="I73" s="2" t="s">
        <v>836</v>
      </c>
      <c r="J73" s="2" t="s">
        <v>837</v>
      </c>
      <c r="K73" s="2" t="s">
        <v>821</v>
      </c>
      <c r="L73" s="2" t="s">
        <v>821</v>
      </c>
      <c r="M73" s="2" t="s">
        <v>824</v>
      </c>
      <c r="N73" s="2" t="s">
        <v>824</v>
      </c>
      <c r="O73" s="2" t="s">
        <v>824</v>
      </c>
      <c r="P73" s="2" t="s">
        <v>825</v>
      </c>
      <c r="Q73" s="2" t="s">
        <v>825</v>
      </c>
      <c r="R73" s="2" t="s">
        <v>825</v>
      </c>
      <c r="S73" s="2" t="s">
        <v>826</v>
      </c>
      <c r="T73" s="2" t="s">
        <v>825</v>
      </c>
      <c r="U73" s="2"/>
      <c r="V73" s="2" t="s">
        <v>827</v>
      </c>
      <c r="W73" s="2"/>
      <c r="X73" s="2"/>
      <c r="Y73" s="2"/>
      <c r="Z73" s="2" t="s">
        <v>8</v>
      </c>
      <c r="AA73" s="2"/>
      <c r="AB73" s="2" t="s">
        <v>8</v>
      </c>
      <c r="AC73" s="2" t="s">
        <v>8</v>
      </c>
      <c r="AD73" s="2" t="s">
        <v>8</v>
      </c>
      <c r="AE73" s="2"/>
      <c r="AF73" s="2"/>
      <c r="AG73" s="2" t="s">
        <v>8</v>
      </c>
      <c r="AH73" s="3" t="b">
        <v>0</v>
      </c>
      <c r="AI73" s="2"/>
      <c r="AJ73" s="2"/>
      <c r="AK73" s="2"/>
      <c r="AL73" s="2"/>
      <c r="AM73" s="2"/>
      <c r="AN73" s="2" t="s">
        <v>833</v>
      </c>
      <c r="AO73" s="2"/>
      <c r="AP73" s="2"/>
      <c r="AQ73" s="2" t="s">
        <v>191</v>
      </c>
    </row>
    <row r="74" spans="1:43" ht="56">
      <c r="A74" s="2" t="s">
        <v>19</v>
      </c>
      <c r="B74" s="2" t="s">
        <v>838</v>
      </c>
      <c r="C74" s="2" t="s">
        <v>545</v>
      </c>
      <c r="D74" s="2"/>
      <c r="E74" s="2" t="s">
        <v>185</v>
      </c>
      <c r="F74" s="2" t="s">
        <v>546</v>
      </c>
      <c r="G74" s="2" t="s">
        <v>839</v>
      </c>
      <c r="H74" s="2" t="s">
        <v>821</v>
      </c>
      <c r="I74" s="2" t="s">
        <v>840</v>
      </c>
      <c r="J74" s="2" t="s">
        <v>841</v>
      </c>
      <c r="K74" s="2" t="s">
        <v>821</v>
      </c>
      <c r="L74" s="2" t="s">
        <v>821</v>
      </c>
      <c r="M74" s="2" t="s">
        <v>824</v>
      </c>
      <c r="N74" s="2" t="s">
        <v>824</v>
      </c>
      <c r="O74" s="2" t="s">
        <v>824</v>
      </c>
      <c r="P74" s="2" t="s">
        <v>825</v>
      </c>
      <c r="Q74" s="2" t="s">
        <v>825</v>
      </c>
      <c r="R74" s="2" t="s">
        <v>825</v>
      </c>
      <c r="S74" s="2" t="s">
        <v>826</v>
      </c>
      <c r="T74" s="2" t="s">
        <v>825</v>
      </c>
      <c r="U74" s="2"/>
      <c r="V74" s="2" t="s">
        <v>827</v>
      </c>
      <c r="W74" s="2"/>
      <c r="X74" s="2"/>
      <c r="Y74" s="2"/>
      <c r="Z74" s="2" t="s">
        <v>8</v>
      </c>
      <c r="AA74" s="2"/>
      <c r="AB74" s="2" t="s">
        <v>8</v>
      </c>
      <c r="AC74" s="2" t="s">
        <v>8</v>
      </c>
      <c r="AD74" s="2" t="s">
        <v>8</v>
      </c>
      <c r="AE74" s="2"/>
      <c r="AF74" s="2"/>
      <c r="AG74" s="2" t="s">
        <v>8</v>
      </c>
      <c r="AH74" s="3" t="b">
        <v>0</v>
      </c>
      <c r="AI74" s="2"/>
      <c r="AJ74" s="2"/>
      <c r="AK74" s="2"/>
      <c r="AL74" s="2"/>
      <c r="AM74" s="2"/>
      <c r="AN74" s="2" t="s">
        <v>833</v>
      </c>
      <c r="AO74" s="2"/>
      <c r="AP74" s="2"/>
      <c r="AQ74" s="2" t="s">
        <v>191</v>
      </c>
    </row>
    <row r="75" spans="1:43" ht="252">
      <c r="A75" s="2" t="s">
        <v>19</v>
      </c>
      <c r="B75" s="2" t="s">
        <v>184</v>
      </c>
      <c r="C75" s="2" t="s">
        <v>545</v>
      </c>
      <c r="D75" s="2"/>
      <c r="E75" s="2" t="s">
        <v>185</v>
      </c>
      <c r="F75" s="2" t="s">
        <v>546</v>
      </c>
      <c r="G75" s="2" t="s">
        <v>187</v>
      </c>
      <c r="H75" s="2" t="s">
        <v>821</v>
      </c>
      <c r="I75" s="2" t="s">
        <v>842</v>
      </c>
      <c r="J75" s="2" t="s">
        <v>843</v>
      </c>
      <c r="K75" s="2" t="s">
        <v>821</v>
      </c>
      <c r="L75" s="2" t="s">
        <v>821</v>
      </c>
      <c r="M75" s="2" t="s">
        <v>824</v>
      </c>
      <c r="N75" s="2" t="s">
        <v>824</v>
      </c>
      <c r="O75" s="2" t="s">
        <v>844</v>
      </c>
      <c r="P75" s="2" t="s">
        <v>825</v>
      </c>
      <c r="Q75" s="2" t="s">
        <v>825</v>
      </c>
      <c r="R75" s="2" t="s">
        <v>825</v>
      </c>
      <c r="S75" s="2" t="s">
        <v>826</v>
      </c>
      <c r="T75" s="2" t="s">
        <v>825</v>
      </c>
      <c r="U75" s="2"/>
      <c r="V75" s="2" t="s">
        <v>845</v>
      </c>
      <c r="W75" s="2"/>
      <c r="X75" s="2"/>
      <c r="Y75" s="2"/>
      <c r="Z75" s="2" t="s">
        <v>10</v>
      </c>
      <c r="AA75" s="2"/>
      <c r="AB75" s="2" t="s">
        <v>10</v>
      </c>
      <c r="AC75" s="2" t="s">
        <v>8</v>
      </c>
      <c r="AD75" s="2" t="s">
        <v>10</v>
      </c>
      <c r="AE75" s="2"/>
      <c r="AF75" s="2"/>
      <c r="AG75" s="2" t="s">
        <v>10</v>
      </c>
      <c r="AH75" s="3" t="b">
        <v>1</v>
      </c>
      <c r="AI75" s="2"/>
      <c r="AJ75" s="2"/>
      <c r="AK75" s="2"/>
      <c r="AL75" s="2"/>
      <c r="AM75" s="2"/>
      <c r="AN75" s="2" t="s">
        <v>846</v>
      </c>
      <c r="AO75" s="2"/>
      <c r="AP75" s="2"/>
      <c r="AQ75" s="2" t="s">
        <v>191</v>
      </c>
    </row>
    <row r="76" spans="1:43" ht="56">
      <c r="A76" s="2" t="s">
        <v>19</v>
      </c>
      <c r="B76" s="2" t="s">
        <v>847</v>
      </c>
      <c r="C76" s="2" t="s">
        <v>545</v>
      </c>
      <c r="D76" s="2"/>
      <c r="E76" s="2" t="s">
        <v>193</v>
      </c>
      <c r="F76" s="2" t="s">
        <v>546</v>
      </c>
      <c r="G76" s="2" t="s">
        <v>848</v>
      </c>
      <c r="H76" s="2" t="s">
        <v>821</v>
      </c>
      <c r="I76" s="2" t="s">
        <v>822</v>
      </c>
      <c r="J76" s="2" t="s">
        <v>823</v>
      </c>
      <c r="K76" s="2" t="s">
        <v>821</v>
      </c>
      <c r="L76" s="2" t="s">
        <v>821</v>
      </c>
      <c r="M76" s="2" t="s">
        <v>824</v>
      </c>
      <c r="N76" s="2" t="s">
        <v>824</v>
      </c>
      <c r="O76" s="2" t="s">
        <v>824</v>
      </c>
      <c r="P76" s="2" t="s">
        <v>825</v>
      </c>
      <c r="Q76" s="2" t="s">
        <v>825</v>
      </c>
      <c r="R76" s="2" t="s">
        <v>825</v>
      </c>
      <c r="S76" s="2" t="s">
        <v>826</v>
      </c>
      <c r="T76" s="2" t="s">
        <v>825</v>
      </c>
      <c r="U76" s="2"/>
      <c r="V76" s="2" t="s">
        <v>827</v>
      </c>
      <c r="W76" s="2"/>
      <c r="X76" s="2"/>
      <c r="Y76" s="2"/>
      <c r="Z76" s="2" t="s">
        <v>8</v>
      </c>
      <c r="AA76" s="2"/>
      <c r="AB76" s="2" t="s">
        <v>8</v>
      </c>
      <c r="AC76" s="2" t="s">
        <v>8</v>
      </c>
      <c r="AD76" s="2" t="s">
        <v>8</v>
      </c>
      <c r="AE76" s="2"/>
      <c r="AF76" s="2"/>
      <c r="AG76" s="2" t="s">
        <v>8</v>
      </c>
      <c r="AH76" s="3" t="b">
        <v>0</v>
      </c>
      <c r="AI76" s="2"/>
      <c r="AJ76" s="2"/>
      <c r="AK76" s="2"/>
      <c r="AL76" s="2"/>
      <c r="AM76" s="2"/>
      <c r="AN76" s="2" t="s">
        <v>849</v>
      </c>
      <c r="AO76" s="2"/>
      <c r="AP76" s="2"/>
      <c r="AQ76" s="2" t="s">
        <v>191</v>
      </c>
    </row>
    <row r="77" spans="1:43" ht="56">
      <c r="A77" s="2" t="s">
        <v>19</v>
      </c>
      <c r="B77" s="2" t="s">
        <v>850</v>
      </c>
      <c r="C77" s="2" t="s">
        <v>545</v>
      </c>
      <c r="D77" s="2"/>
      <c r="E77" s="2" t="s">
        <v>193</v>
      </c>
      <c r="F77" s="2" t="s">
        <v>562</v>
      </c>
      <c r="G77" s="2" t="s">
        <v>851</v>
      </c>
      <c r="H77" s="2" t="s">
        <v>852</v>
      </c>
      <c r="I77" s="2" t="s">
        <v>822</v>
      </c>
      <c r="J77" s="2" t="s">
        <v>823</v>
      </c>
      <c r="K77" s="2" t="s">
        <v>852</v>
      </c>
      <c r="L77" s="2" t="s">
        <v>852</v>
      </c>
      <c r="M77" s="2" t="s">
        <v>824</v>
      </c>
      <c r="N77" s="2" t="s">
        <v>824</v>
      </c>
      <c r="O77" s="2" t="s">
        <v>824</v>
      </c>
      <c r="P77" s="2" t="s">
        <v>825</v>
      </c>
      <c r="Q77" s="2" t="s">
        <v>825</v>
      </c>
      <c r="R77" s="2" t="s">
        <v>825</v>
      </c>
      <c r="S77" s="2" t="s">
        <v>826</v>
      </c>
      <c r="T77" s="2" t="s">
        <v>825</v>
      </c>
      <c r="U77" s="2"/>
      <c r="V77" s="2" t="s">
        <v>827</v>
      </c>
      <c r="W77" s="2"/>
      <c r="X77" s="2"/>
      <c r="Y77" s="2"/>
      <c r="Z77" s="2" t="s">
        <v>8</v>
      </c>
      <c r="AA77" s="2"/>
      <c r="AB77" s="2" t="s">
        <v>8</v>
      </c>
      <c r="AC77" s="2" t="s">
        <v>8</v>
      </c>
      <c r="AD77" s="2" t="s">
        <v>8</v>
      </c>
      <c r="AE77" s="2"/>
      <c r="AF77" s="2"/>
      <c r="AG77" s="2" t="s">
        <v>8</v>
      </c>
      <c r="AH77" s="3" t="b">
        <v>0</v>
      </c>
      <c r="AI77" s="2"/>
      <c r="AJ77" s="2"/>
      <c r="AK77" s="2"/>
      <c r="AL77" s="2"/>
      <c r="AM77" s="2"/>
      <c r="AN77" s="2" t="s">
        <v>853</v>
      </c>
      <c r="AO77" s="2"/>
      <c r="AP77" s="2"/>
      <c r="AQ77" s="2" t="s">
        <v>191</v>
      </c>
    </row>
    <row r="78" spans="1:43" ht="56">
      <c r="A78" s="2" t="s">
        <v>19</v>
      </c>
      <c r="B78" s="2" t="s">
        <v>854</v>
      </c>
      <c r="C78" s="2" t="s">
        <v>545</v>
      </c>
      <c r="D78" s="2"/>
      <c r="E78" s="2" t="s">
        <v>193</v>
      </c>
      <c r="F78" s="2" t="s">
        <v>572</v>
      </c>
      <c r="G78" s="2" t="s">
        <v>855</v>
      </c>
      <c r="H78" s="2" t="s">
        <v>856</v>
      </c>
      <c r="I78" s="2" t="s">
        <v>822</v>
      </c>
      <c r="J78" s="2" t="s">
        <v>823</v>
      </c>
      <c r="K78" s="2" t="s">
        <v>856</v>
      </c>
      <c r="L78" s="2" t="s">
        <v>856</v>
      </c>
      <c r="M78" s="2" t="s">
        <v>824</v>
      </c>
      <c r="N78" s="2" t="s">
        <v>824</v>
      </c>
      <c r="O78" s="2" t="s">
        <v>824</v>
      </c>
      <c r="P78" s="2" t="s">
        <v>825</v>
      </c>
      <c r="Q78" s="2" t="s">
        <v>825</v>
      </c>
      <c r="R78" s="2" t="s">
        <v>825</v>
      </c>
      <c r="S78" s="2" t="s">
        <v>826</v>
      </c>
      <c r="T78" s="2" t="s">
        <v>825</v>
      </c>
      <c r="U78" s="2"/>
      <c r="V78" s="2" t="s">
        <v>827</v>
      </c>
      <c r="W78" s="2"/>
      <c r="X78" s="2"/>
      <c r="Y78" s="2"/>
      <c r="Z78" s="2" t="s">
        <v>8</v>
      </c>
      <c r="AA78" s="2"/>
      <c r="AB78" s="2" t="s">
        <v>8</v>
      </c>
      <c r="AC78" s="2" t="s">
        <v>8</v>
      </c>
      <c r="AD78" s="2" t="s">
        <v>8</v>
      </c>
      <c r="AE78" s="2"/>
      <c r="AF78" s="2"/>
      <c r="AG78" s="2" t="s">
        <v>8</v>
      </c>
      <c r="AH78" s="3" t="b">
        <v>0</v>
      </c>
      <c r="AI78" s="2"/>
      <c r="AJ78" s="2"/>
      <c r="AK78" s="2"/>
      <c r="AL78" s="2"/>
      <c r="AM78" s="2"/>
      <c r="AN78" s="2" t="s">
        <v>857</v>
      </c>
      <c r="AO78" s="2"/>
      <c r="AP78" s="2"/>
      <c r="AQ78" s="2" t="s">
        <v>191</v>
      </c>
    </row>
    <row r="79" spans="1:43" ht="56">
      <c r="A79" s="2" t="s">
        <v>19</v>
      </c>
      <c r="B79" s="2" t="s">
        <v>858</v>
      </c>
      <c r="C79" s="2" t="s">
        <v>545</v>
      </c>
      <c r="D79" s="2"/>
      <c r="E79" s="2" t="s">
        <v>193</v>
      </c>
      <c r="F79" s="2" t="s">
        <v>562</v>
      </c>
      <c r="G79" s="2" t="s">
        <v>859</v>
      </c>
      <c r="H79" s="2" t="s">
        <v>821</v>
      </c>
      <c r="I79" s="2" t="s">
        <v>822</v>
      </c>
      <c r="J79" s="2" t="s">
        <v>823</v>
      </c>
      <c r="K79" s="2" t="s">
        <v>821</v>
      </c>
      <c r="L79" s="2" t="s">
        <v>821</v>
      </c>
      <c r="M79" s="2" t="s">
        <v>824</v>
      </c>
      <c r="N79" s="2" t="s">
        <v>824</v>
      </c>
      <c r="O79" s="2" t="s">
        <v>824</v>
      </c>
      <c r="P79" s="2" t="s">
        <v>825</v>
      </c>
      <c r="Q79" s="2" t="s">
        <v>825</v>
      </c>
      <c r="R79" s="2" t="s">
        <v>825</v>
      </c>
      <c r="S79" s="2" t="s">
        <v>826</v>
      </c>
      <c r="T79" s="2" t="s">
        <v>825</v>
      </c>
      <c r="U79" s="2"/>
      <c r="V79" s="2" t="s">
        <v>827</v>
      </c>
      <c r="W79" s="2"/>
      <c r="X79" s="2"/>
      <c r="Y79" s="2"/>
      <c r="Z79" s="2" t="s">
        <v>8</v>
      </c>
      <c r="AA79" s="2"/>
      <c r="AB79" s="2" t="s">
        <v>8</v>
      </c>
      <c r="AC79" s="2" t="s">
        <v>8</v>
      </c>
      <c r="AD79" s="2" t="s">
        <v>8</v>
      </c>
      <c r="AE79" s="2"/>
      <c r="AF79" s="2"/>
      <c r="AG79" s="2" t="s">
        <v>8</v>
      </c>
      <c r="AH79" s="3" t="b">
        <v>0</v>
      </c>
      <c r="AI79" s="2"/>
      <c r="AJ79" s="2"/>
      <c r="AK79" s="2"/>
      <c r="AL79" s="2"/>
      <c r="AM79" s="2"/>
      <c r="AN79" s="2" t="s">
        <v>849</v>
      </c>
      <c r="AO79" s="2"/>
      <c r="AP79" s="2"/>
      <c r="AQ79" s="2" t="s">
        <v>191</v>
      </c>
    </row>
    <row r="80" spans="1:43" ht="56">
      <c r="A80" s="2" t="s">
        <v>19</v>
      </c>
      <c r="B80" s="2" t="s">
        <v>860</v>
      </c>
      <c r="C80" s="2" t="s">
        <v>545</v>
      </c>
      <c r="D80" s="2"/>
      <c r="E80" s="2" t="s">
        <v>185</v>
      </c>
      <c r="F80" s="2" t="s">
        <v>546</v>
      </c>
      <c r="G80" s="2" t="s">
        <v>861</v>
      </c>
      <c r="H80" s="2" t="s">
        <v>821</v>
      </c>
      <c r="I80" s="2" t="s">
        <v>862</v>
      </c>
      <c r="J80" s="2" t="s">
        <v>863</v>
      </c>
      <c r="K80" s="2" t="s">
        <v>821</v>
      </c>
      <c r="L80" s="2" t="s">
        <v>821</v>
      </c>
      <c r="M80" s="2" t="s">
        <v>824</v>
      </c>
      <c r="N80" s="2" t="s">
        <v>824</v>
      </c>
      <c r="O80" s="2" t="s">
        <v>824</v>
      </c>
      <c r="P80" s="2" t="s">
        <v>825</v>
      </c>
      <c r="Q80" s="2" t="s">
        <v>825</v>
      </c>
      <c r="R80" s="2" t="s">
        <v>825</v>
      </c>
      <c r="S80" s="2" t="s">
        <v>826</v>
      </c>
      <c r="T80" s="2" t="s">
        <v>825</v>
      </c>
      <c r="U80" s="2"/>
      <c r="V80" s="2" t="s">
        <v>827</v>
      </c>
      <c r="W80" s="2"/>
      <c r="X80" s="2"/>
      <c r="Y80" s="2"/>
      <c r="Z80" s="2" t="s">
        <v>8</v>
      </c>
      <c r="AA80" s="2"/>
      <c r="AB80" s="2" t="s">
        <v>8</v>
      </c>
      <c r="AC80" s="2" t="s">
        <v>8</v>
      </c>
      <c r="AD80" s="2" t="s">
        <v>8</v>
      </c>
      <c r="AE80" s="2"/>
      <c r="AF80" s="2"/>
      <c r="AG80" s="2" t="s">
        <v>8</v>
      </c>
      <c r="AH80" s="3" t="b">
        <v>0</v>
      </c>
      <c r="AI80" s="2"/>
      <c r="AJ80" s="2"/>
      <c r="AK80" s="2"/>
      <c r="AL80" s="2"/>
      <c r="AM80" s="2"/>
      <c r="AN80" s="2" t="s">
        <v>833</v>
      </c>
      <c r="AO80" s="2"/>
      <c r="AP80" s="2"/>
      <c r="AQ80" s="2" t="s">
        <v>191</v>
      </c>
    </row>
    <row r="81" spans="1:43" ht="56">
      <c r="A81" s="2" t="s">
        <v>19</v>
      </c>
      <c r="B81" s="2" t="s">
        <v>864</v>
      </c>
      <c r="C81" s="2" t="s">
        <v>545</v>
      </c>
      <c r="D81" s="2"/>
      <c r="E81" s="2" t="s">
        <v>193</v>
      </c>
      <c r="F81" s="2" t="s">
        <v>546</v>
      </c>
      <c r="G81" s="2" t="s">
        <v>865</v>
      </c>
      <c r="H81" s="2" t="s">
        <v>821</v>
      </c>
      <c r="I81" s="2" t="s">
        <v>822</v>
      </c>
      <c r="J81" s="2" t="s">
        <v>823</v>
      </c>
      <c r="K81" s="2" t="s">
        <v>821</v>
      </c>
      <c r="L81" s="2" t="s">
        <v>821</v>
      </c>
      <c r="M81" s="2" t="s">
        <v>824</v>
      </c>
      <c r="N81" s="2" t="s">
        <v>824</v>
      </c>
      <c r="O81" s="2" t="s">
        <v>824</v>
      </c>
      <c r="P81" s="2" t="s">
        <v>825</v>
      </c>
      <c r="Q81" s="2" t="s">
        <v>825</v>
      </c>
      <c r="R81" s="2" t="s">
        <v>825</v>
      </c>
      <c r="S81" s="2" t="s">
        <v>826</v>
      </c>
      <c r="T81" s="2" t="s">
        <v>825</v>
      </c>
      <c r="U81" s="2"/>
      <c r="V81" s="2" t="s">
        <v>827</v>
      </c>
      <c r="W81" s="2"/>
      <c r="X81" s="2"/>
      <c r="Y81" s="2"/>
      <c r="Z81" s="2" t="s">
        <v>8</v>
      </c>
      <c r="AA81" s="2"/>
      <c r="AB81" s="2" t="s">
        <v>8</v>
      </c>
      <c r="AC81" s="2" t="s">
        <v>8</v>
      </c>
      <c r="AD81" s="2" t="s">
        <v>8</v>
      </c>
      <c r="AE81" s="2"/>
      <c r="AF81" s="2"/>
      <c r="AG81" s="2" t="s">
        <v>8</v>
      </c>
      <c r="AH81" s="3" t="b">
        <v>0</v>
      </c>
      <c r="AI81" s="2"/>
      <c r="AJ81" s="2"/>
      <c r="AK81" s="2"/>
      <c r="AL81" s="2"/>
      <c r="AM81" s="2"/>
      <c r="AN81" s="2" t="s">
        <v>849</v>
      </c>
      <c r="AO81" s="2"/>
      <c r="AP81" s="2"/>
      <c r="AQ81" s="2" t="s">
        <v>191</v>
      </c>
    </row>
    <row r="82" spans="1:43" ht="266">
      <c r="A82" s="2" t="s">
        <v>19</v>
      </c>
      <c r="B82" s="2" t="s">
        <v>379</v>
      </c>
      <c r="C82" s="2" t="s">
        <v>545</v>
      </c>
      <c r="D82" s="2"/>
      <c r="E82" s="2" t="s">
        <v>185</v>
      </c>
      <c r="F82" s="2" t="s">
        <v>546</v>
      </c>
      <c r="G82" s="2" t="s">
        <v>866</v>
      </c>
      <c r="H82" s="2" t="s">
        <v>867</v>
      </c>
      <c r="I82" s="2" t="s">
        <v>382</v>
      </c>
      <c r="J82" s="2" t="s">
        <v>868</v>
      </c>
      <c r="K82" s="2" t="s">
        <v>867</v>
      </c>
      <c r="L82" s="2" t="s">
        <v>867</v>
      </c>
      <c r="M82" s="2" t="s">
        <v>824</v>
      </c>
      <c r="N82" s="2" t="s">
        <v>824</v>
      </c>
      <c r="O82" s="2" t="s">
        <v>824</v>
      </c>
      <c r="P82" s="2" t="s">
        <v>825</v>
      </c>
      <c r="Q82" s="2" t="s">
        <v>825</v>
      </c>
      <c r="R82" s="2" t="s">
        <v>825</v>
      </c>
      <c r="S82" s="2" t="s">
        <v>826</v>
      </c>
      <c r="T82" s="2" t="s">
        <v>825</v>
      </c>
      <c r="U82" s="2"/>
      <c r="V82" s="2" t="s">
        <v>827</v>
      </c>
      <c r="W82" s="2"/>
      <c r="X82" s="2"/>
      <c r="Y82" s="2"/>
      <c r="Z82" s="2" t="s">
        <v>8</v>
      </c>
      <c r="AA82" s="2"/>
      <c r="AB82" s="2" t="s">
        <v>8</v>
      </c>
      <c r="AC82" s="2" t="s">
        <v>8</v>
      </c>
      <c r="AD82" s="2" t="s">
        <v>8</v>
      </c>
      <c r="AE82" s="2"/>
      <c r="AF82" s="2"/>
      <c r="AG82" s="2" t="s">
        <v>581</v>
      </c>
      <c r="AH82" s="3" t="b">
        <v>0</v>
      </c>
      <c r="AI82" s="2"/>
      <c r="AJ82" s="2"/>
      <c r="AK82" s="2"/>
      <c r="AL82" s="2"/>
      <c r="AM82" s="2"/>
      <c r="AN82" s="2" t="s">
        <v>869</v>
      </c>
      <c r="AO82" s="2"/>
      <c r="AP82" s="2"/>
      <c r="AQ82" s="2" t="s">
        <v>191</v>
      </c>
    </row>
    <row r="83" spans="1:43" ht="56">
      <c r="A83" s="2" t="s">
        <v>19</v>
      </c>
      <c r="B83" s="2" t="s">
        <v>870</v>
      </c>
      <c r="C83" s="2" t="s">
        <v>545</v>
      </c>
      <c r="D83" s="2"/>
      <c r="E83" s="2" t="s">
        <v>193</v>
      </c>
      <c r="F83" s="2" t="s">
        <v>572</v>
      </c>
      <c r="G83" s="2" t="s">
        <v>871</v>
      </c>
      <c r="H83" s="2" t="s">
        <v>856</v>
      </c>
      <c r="I83" s="2" t="s">
        <v>822</v>
      </c>
      <c r="J83" s="2" t="s">
        <v>823</v>
      </c>
      <c r="K83" s="2" t="s">
        <v>856</v>
      </c>
      <c r="L83" s="2" t="s">
        <v>856</v>
      </c>
      <c r="M83" s="2" t="s">
        <v>824</v>
      </c>
      <c r="N83" s="2" t="s">
        <v>824</v>
      </c>
      <c r="O83" s="2" t="s">
        <v>824</v>
      </c>
      <c r="P83" s="2" t="s">
        <v>825</v>
      </c>
      <c r="Q83" s="2" t="s">
        <v>825</v>
      </c>
      <c r="R83" s="2" t="s">
        <v>825</v>
      </c>
      <c r="S83" s="2" t="s">
        <v>826</v>
      </c>
      <c r="T83" s="2" t="s">
        <v>825</v>
      </c>
      <c r="U83" s="2"/>
      <c r="V83" s="2" t="s">
        <v>827</v>
      </c>
      <c r="W83" s="2"/>
      <c r="X83" s="2"/>
      <c r="Y83" s="2"/>
      <c r="Z83" s="2" t="s">
        <v>8</v>
      </c>
      <c r="AA83" s="2"/>
      <c r="AB83" s="2" t="s">
        <v>8</v>
      </c>
      <c r="AC83" s="2" t="s">
        <v>8</v>
      </c>
      <c r="AD83" s="2" t="s">
        <v>8</v>
      </c>
      <c r="AE83" s="2"/>
      <c r="AF83" s="2"/>
      <c r="AG83" s="2" t="s">
        <v>8</v>
      </c>
      <c r="AH83" s="3" t="b">
        <v>0</v>
      </c>
      <c r="AI83" s="2"/>
      <c r="AJ83" s="2"/>
      <c r="AK83" s="2"/>
      <c r="AL83" s="2"/>
      <c r="AM83" s="2"/>
      <c r="AN83" s="2" t="s">
        <v>857</v>
      </c>
      <c r="AO83" s="2"/>
      <c r="AP83" s="2"/>
      <c r="AQ83" s="2" t="s">
        <v>191</v>
      </c>
    </row>
    <row r="84" spans="1:43" ht="56">
      <c r="A84" s="2" t="s">
        <v>19</v>
      </c>
      <c r="B84" s="2" t="s">
        <v>872</v>
      </c>
      <c r="C84" s="2" t="s">
        <v>545</v>
      </c>
      <c r="D84" s="2"/>
      <c r="E84" s="2" t="s">
        <v>193</v>
      </c>
      <c r="F84" s="2" t="s">
        <v>562</v>
      </c>
      <c r="G84" s="2" t="s">
        <v>873</v>
      </c>
      <c r="H84" s="2" t="s">
        <v>856</v>
      </c>
      <c r="I84" s="2" t="s">
        <v>822</v>
      </c>
      <c r="J84" s="2" t="s">
        <v>823</v>
      </c>
      <c r="K84" s="2" t="s">
        <v>856</v>
      </c>
      <c r="L84" s="2" t="s">
        <v>856</v>
      </c>
      <c r="M84" s="2" t="s">
        <v>824</v>
      </c>
      <c r="N84" s="2" t="s">
        <v>824</v>
      </c>
      <c r="O84" s="2" t="s">
        <v>824</v>
      </c>
      <c r="P84" s="2" t="s">
        <v>825</v>
      </c>
      <c r="Q84" s="2" t="s">
        <v>825</v>
      </c>
      <c r="R84" s="2" t="s">
        <v>825</v>
      </c>
      <c r="S84" s="2" t="s">
        <v>826</v>
      </c>
      <c r="T84" s="2" t="s">
        <v>825</v>
      </c>
      <c r="U84" s="2"/>
      <c r="V84" s="2" t="s">
        <v>827</v>
      </c>
      <c r="W84" s="2"/>
      <c r="X84" s="2"/>
      <c r="Y84" s="2"/>
      <c r="Z84" s="2" t="s">
        <v>8</v>
      </c>
      <c r="AA84" s="2"/>
      <c r="AB84" s="2" t="s">
        <v>8</v>
      </c>
      <c r="AC84" s="2" t="s">
        <v>8</v>
      </c>
      <c r="AD84" s="2" t="s">
        <v>8</v>
      </c>
      <c r="AE84" s="2"/>
      <c r="AF84" s="2"/>
      <c r="AG84" s="2" t="s">
        <v>8</v>
      </c>
      <c r="AH84" s="3" t="b">
        <v>0</v>
      </c>
      <c r="AI84" s="2"/>
      <c r="AJ84" s="2"/>
      <c r="AK84" s="2"/>
      <c r="AL84" s="2"/>
      <c r="AM84" s="2"/>
      <c r="AN84" s="2" t="s">
        <v>857</v>
      </c>
      <c r="AO84" s="2"/>
      <c r="AP84" s="2"/>
      <c r="AQ84" s="2" t="s">
        <v>191</v>
      </c>
    </row>
    <row r="85" spans="1:43" ht="56">
      <c r="A85" s="2" t="s">
        <v>19</v>
      </c>
      <c r="B85" s="2" t="s">
        <v>874</v>
      </c>
      <c r="C85" s="2" t="s">
        <v>545</v>
      </c>
      <c r="D85" s="2"/>
      <c r="E85" s="2" t="s">
        <v>193</v>
      </c>
      <c r="F85" s="2" t="s">
        <v>562</v>
      </c>
      <c r="G85" s="2" t="s">
        <v>875</v>
      </c>
      <c r="H85" s="2" t="s">
        <v>856</v>
      </c>
      <c r="I85" s="2" t="s">
        <v>822</v>
      </c>
      <c r="J85" s="2" t="s">
        <v>823</v>
      </c>
      <c r="K85" s="2" t="s">
        <v>856</v>
      </c>
      <c r="L85" s="2" t="s">
        <v>856</v>
      </c>
      <c r="M85" s="2" t="s">
        <v>824</v>
      </c>
      <c r="N85" s="2" t="s">
        <v>824</v>
      </c>
      <c r="O85" s="2" t="s">
        <v>824</v>
      </c>
      <c r="P85" s="2" t="s">
        <v>825</v>
      </c>
      <c r="Q85" s="2" t="s">
        <v>825</v>
      </c>
      <c r="R85" s="2" t="s">
        <v>825</v>
      </c>
      <c r="S85" s="2" t="s">
        <v>826</v>
      </c>
      <c r="T85" s="2" t="s">
        <v>825</v>
      </c>
      <c r="U85" s="2"/>
      <c r="V85" s="2" t="s">
        <v>827</v>
      </c>
      <c r="W85" s="2"/>
      <c r="X85" s="2"/>
      <c r="Y85" s="2"/>
      <c r="Z85" s="2" t="s">
        <v>8</v>
      </c>
      <c r="AA85" s="2"/>
      <c r="AB85" s="2" t="s">
        <v>8</v>
      </c>
      <c r="AC85" s="2" t="s">
        <v>8</v>
      </c>
      <c r="AD85" s="2" t="s">
        <v>8</v>
      </c>
      <c r="AE85" s="2"/>
      <c r="AF85" s="2"/>
      <c r="AG85" s="2" t="s">
        <v>8</v>
      </c>
      <c r="AH85" s="3" t="b">
        <v>0</v>
      </c>
      <c r="AI85" s="2"/>
      <c r="AJ85" s="2"/>
      <c r="AK85" s="2"/>
      <c r="AL85" s="2"/>
      <c r="AM85" s="2"/>
      <c r="AN85" s="2" t="s">
        <v>857</v>
      </c>
      <c r="AO85" s="2"/>
      <c r="AP85" s="2"/>
      <c r="AQ85" s="2" t="s">
        <v>191</v>
      </c>
    </row>
    <row r="86" spans="1:43" ht="56">
      <c r="A86" s="2" t="s">
        <v>19</v>
      </c>
      <c r="B86" s="2" t="s">
        <v>876</v>
      </c>
      <c r="C86" s="2" t="s">
        <v>545</v>
      </c>
      <c r="D86" s="2"/>
      <c r="E86" s="2" t="s">
        <v>193</v>
      </c>
      <c r="F86" s="2" t="s">
        <v>572</v>
      </c>
      <c r="G86" s="2" t="s">
        <v>877</v>
      </c>
      <c r="H86" s="2" t="s">
        <v>856</v>
      </c>
      <c r="I86" s="2" t="s">
        <v>822</v>
      </c>
      <c r="J86" s="2" t="s">
        <v>823</v>
      </c>
      <c r="K86" s="2" t="s">
        <v>856</v>
      </c>
      <c r="L86" s="2" t="s">
        <v>856</v>
      </c>
      <c r="M86" s="2" t="s">
        <v>824</v>
      </c>
      <c r="N86" s="2" t="s">
        <v>824</v>
      </c>
      <c r="O86" s="2" t="s">
        <v>824</v>
      </c>
      <c r="P86" s="2" t="s">
        <v>825</v>
      </c>
      <c r="Q86" s="2" t="s">
        <v>825</v>
      </c>
      <c r="R86" s="2" t="s">
        <v>825</v>
      </c>
      <c r="S86" s="2" t="s">
        <v>826</v>
      </c>
      <c r="T86" s="2" t="s">
        <v>825</v>
      </c>
      <c r="U86" s="2"/>
      <c r="V86" s="2" t="s">
        <v>827</v>
      </c>
      <c r="W86" s="2"/>
      <c r="X86" s="2"/>
      <c r="Y86" s="2"/>
      <c r="Z86" s="2" t="s">
        <v>8</v>
      </c>
      <c r="AA86" s="2"/>
      <c r="AB86" s="2" t="s">
        <v>8</v>
      </c>
      <c r="AC86" s="2" t="s">
        <v>8</v>
      </c>
      <c r="AD86" s="2" t="s">
        <v>8</v>
      </c>
      <c r="AE86" s="2"/>
      <c r="AF86" s="2"/>
      <c r="AG86" s="2" t="s">
        <v>8</v>
      </c>
      <c r="AH86" s="3" t="b">
        <v>0</v>
      </c>
      <c r="AI86" s="2"/>
      <c r="AJ86" s="2"/>
      <c r="AK86" s="2"/>
      <c r="AL86" s="2"/>
      <c r="AM86" s="2"/>
      <c r="AN86" s="2" t="s">
        <v>857</v>
      </c>
      <c r="AO86" s="2"/>
      <c r="AP86" s="2"/>
      <c r="AQ86" s="2" t="s">
        <v>191</v>
      </c>
    </row>
    <row r="87" spans="1:43" ht="56">
      <c r="A87" s="2" t="s">
        <v>19</v>
      </c>
      <c r="B87" s="2" t="s">
        <v>878</v>
      </c>
      <c r="C87" s="2" t="s">
        <v>545</v>
      </c>
      <c r="D87" s="2"/>
      <c r="E87" s="2" t="s">
        <v>185</v>
      </c>
      <c r="F87" s="2" t="s">
        <v>546</v>
      </c>
      <c r="G87" s="2" t="s">
        <v>879</v>
      </c>
      <c r="H87" s="2" t="s">
        <v>867</v>
      </c>
      <c r="I87" s="2" t="s">
        <v>880</v>
      </c>
      <c r="J87" s="2" t="s">
        <v>881</v>
      </c>
      <c r="K87" s="2" t="s">
        <v>867</v>
      </c>
      <c r="L87" s="2" t="s">
        <v>867</v>
      </c>
      <c r="M87" s="2" t="s">
        <v>824</v>
      </c>
      <c r="N87" s="2" t="s">
        <v>824</v>
      </c>
      <c r="O87" s="2" t="s">
        <v>824</v>
      </c>
      <c r="P87" s="2" t="s">
        <v>825</v>
      </c>
      <c r="Q87" s="2" t="s">
        <v>825</v>
      </c>
      <c r="R87" s="2" t="s">
        <v>825</v>
      </c>
      <c r="S87" s="2" t="s">
        <v>826</v>
      </c>
      <c r="T87" s="2" t="s">
        <v>825</v>
      </c>
      <c r="U87" s="2"/>
      <c r="V87" s="2" t="s">
        <v>827</v>
      </c>
      <c r="W87" s="2"/>
      <c r="X87" s="2"/>
      <c r="Y87" s="2"/>
      <c r="Z87" s="2" t="s">
        <v>8</v>
      </c>
      <c r="AA87" s="2"/>
      <c r="AB87" s="2" t="s">
        <v>8</v>
      </c>
      <c r="AC87" s="2" t="s">
        <v>8</v>
      </c>
      <c r="AD87" s="2" t="s">
        <v>8</v>
      </c>
      <c r="AE87" s="2"/>
      <c r="AF87" s="2"/>
      <c r="AG87" s="2" t="s">
        <v>8</v>
      </c>
      <c r="AH87" s="3" t="b">
        <v>0</v>
      </c>
      <c r="AI87" s="2"/>
      <c r="AJ87" s="2"/>
      <c r="AK87" s="2"/>
      <c r="AL87" s="2"/>
      <c r="AM87" s="2"/>
      <c r="AN87" s="2" t="s">
        <v>882</v>
      </c>
      <c r="AO87" s="2"/>
      <c r="AP87" s="2"/>
      <c r="AQ87" s="2" t="s">
        <v>191</v>
      </c>
    </row>
    <row r="88" spans="1:43" ht="56">
      <c r="A88" s="2" t="s">
        <v>19</v>
      </c>
      <c r="B88" s="2" t="s">
        <v>883</v>
      </c>
      <c r="C88" s="2" t="s">
        <v>545</v>
      </c>
      <c r="D88" s="2"/>
      <c r="E88" s="2" t="s">
        <v>185</v>
      </c>
      <c r="F88" s="2" t="s">
        <v>546</v>
      </c>
      <c r="G88" s="2" t="s">
        <v>884</v>
      </c>
      <c r="H88" s="2" t="s">
        <v>852</v>
      </c>
      <c r="I88" s="2" t="s">
        <v>885</v>
      </c>
      <c r="J88" s="2" t="s">
        <v>886</v>
      </c>
      <c r="K88" s="2" t="s">
        <v>852</v>
      </c>
      <c r="L88" s="2" t="s">
        <v>852</v>
      </c>
      <c r="M88" s="2" t="s">
        <v>824</v>
      </c>
      <c r="N88" s="2" t="s">
        <v>824</v>
      </c>
      <c r="O88" s="2" t="s">
        <v>824</v>
      </c>
      <c r="P88" s="2" t="s">
        <v>825</v>
      </c>
      <c r="Q88" s="2" t="s">
        <v>825</v>
      </c>
      <c r="R88" s="2" t="s">
        <v>825</v>
      </c>
      <c r="S88" s="2" t="s">
        <v>826</v>
      </c>
      <c r="T88" s="2" t="s">
        <v>825</v>
      </c>
      <c r="U88" s="2"/>
      <c r="V88" s="2" t="s">
        <v>827</v>
      </c>
      <c r="W88" s="2"/>
      <c r="X88" s="2"/>
      <c r="Y88" s="2"/>
      <c r="Z88" s="2" t="s">
        <v>8</v>
      </c>
      <c r="AA88" s="2"/>
      <c r="AB88" s="2" t="s">
        <v>8</v>
      </c>
      <c r="AC88" s="2" t="s">
        <v>8</v>
      </c>
      <c r="AD88" s="2" t="s">
        <v>8</v>
      </c>
      <c r="AE88" s="2"/>
      <c r="AF88" s="2"/>
      <c r="AG88" s="2" t="s">
        <v>8</v>
      </c>
      <c r="AH88" s="3" t="b">
        <v>0</v>
      </c>
      <c r="AI88" s="2"/>
      <c r="AJ88" s="2"/>
      <c r="AK88" s="2"/>
      <c r="AL88" s="2"/>
      <c r="AM88" s="2"/>
      <c r="AN88" s="2" t="s">
        <v>887</v>
      </c>
      <c r="AO88" s="2"/>
      <c r="AP88" s="2"/>
      <c r="AQ88" s="2" t="s">
        <v>191</v>
      </c>
    </row>
    <row r="89" spans="1:43" ht="280">
      <c r="A89" s="2" t="s">
        <v>19</v>
      </c>
      <c r="B89" s="2" t="s">
        <v>888</v>
      </c>
      <c r="C89" s="2" t="s">
        <v>545</v>
      </c>
      <c r="D89" s="2"/>
      <c r="E89" s="2" t="s">
        <v>889</v>
      </c>
      <c r="F89" s="2" t="s">
        <v>546</v>
      </c>
      <c r="G89" s="2" t="s">
        <v>890</v>
      </c>
      <c r="H89" s="2" t="s">
        <v>891</v>
      </c>
      <c r="I89" s="2" t="s">
        <v>892</v>
      </c>
      <c r="J89" s="2" t="s">
        <v>893</v>
      </c>
      <c r="K89" s="2" t="s">
        <v>550</v>
      </c>
      <c r="L89" s="2" t="s">
        <v>550</v>
      </c>
      <c r="M89" s="2" t="s">
        <v>550</v>
      </c>
      <c r="N89" s="2" t="s">
        <v>550</v>
      </c>
      <c r="O89" s="2" t="s">
        <v>550</v>
      </c>
      <c r="P89" s="2" t="s">
        <v>550</v>
      </c>
      <c r="Q89" s="2" t="s">
        <v>550</v>
      </c>
      <c r="R89" s="2" t="s">
        <v>550</v>
      </c>
      <c r="S89" s="2" t="s">
        <v>550</v>
      </c>
      <c r="T89" s="2" t="s">
        <v>550</v>
      </c>
      <c r="U89" s="2"/>
      <c r="V89" s="2" t="s">
        <v>550</v>
      </c>
      <c r="W89" s="2"/>
      <c r="X89" s="2"/>
      <c r="Y89" s="2"/>
      <c r="Z89" s="2" t="s">
        <v>550</v>
      </c>
      <c r="AA89" s="2"/>
      <c r="AB89" s="2" t="s">
        <v>550</v>
      </c>
      <c r="AC89" s="2" t="s">
        <v>550</v>
      </c>
      <c r="AD89" s="2" t="s">
        <v>550</v>
      </c>
      <c r="AE89" s="2"/>
      <c r="AF89" s="2"/>
      <c r="AG89" s="2" t="s">
        <v>894</v>
      </c>
      <c r="AH89" s="3" t="b">
        <v>1</v>
      </c>
      <c r="AI89" s="2"/>
      <c r="AJ89" s="2"/>
      <c r="AK89" s="2"/>
      <c r="AL89" s="2"/>
      <c r="AM89" s="2"/>
      <c r="AN89" s="2" t="s">
        <v>895</v>
      </c>
      <c r="AO89" s="2"/>
      <c r="AP89" s="2"/>
      <c r="AQ89" s="2" t="s">
        <v>191</v>
      </c>
    </row>
    <row r="90" spans="1:43" ht="56">
      <c r="A90" s="2" t="s">
        <v>19</v>
      </c>
      <c r="B90" s="2" t="s">
        <v>896</v>
      </c>
      <c r="C90" s="2" t="s">
        <v>545</v>
      </c>
      <c r="D90" s="2"/>
      <c r="E90" s="2" t="s">
        <v>193</v>
      </c>
      <c r="F90" s="2" t="s">
        <v>562</v>
      </c>
      <c r="G90" s="2" t="s">
        <v>897</v>
      </c>
      <c r="H90" s="2" t="s">
        <v>821</v>
      </c>
      <c r="I90" s="2" t="s">
        <v>822</v>
      </c>
      <c r="J90" s="2" t="s">
        <v>823</v>
      </c>
      <c r="K90" s="2" t="s">
        <v>821</v>
      </c>
      <c r="L90" s="2" t="s">
        <v>821</v>
      </c>
      <c r="M90" s="2" t="s">
        <v>824</v>
      </c>
      <c r="N90" s="2" t="s">
        <v>824</v>
      </c>
      <c r="O90" s="2" t="s">
        <v>824</v>
      </c>
      <c r="P90" s="2" t="s">
        <v>825</v>
      </c>
      <c r="Q90" s="2" t="s">
        <v>825</v>
      </c>
      <c r="R90" s="2" t="s">
        <v>825</v>
      </c>
      <c r="S90" s="2" t="s">
        <v>826</v>
      </c>
      <c r="T90" s="2" t="s">
        <v>825</v>
      </c>
      <c r="U90" s="2"/>
      <c r="V90" s="2" t="s">
        <v>827</v>
      </c>
      <c r="W90" s="2"/>
      <c r="X90" s="2"/>
      <c r="Y90" s="2"/>
      <c r="Z90" s="2" t="s">
        <v>8</v>
      </c>
      <c r="AA90" s="2"/>
      <c r="AB90" s="2" t="s">
        <v>8</v>
      </c>
      <c r="AC90" s="2" t="s">
        <v>8</v>
      </c>
      <c r="AD90" s="2" t="s">
        <v>8</v>
      </c>
      <c r="AE90" s="2"/>
      <c r="AF90" s="2"/>
      <c r="AG90" s="2" t="s">
        <v>8</v>
      </c>
      <c r="AH90" s="3" t="b">
        <v>0</v>
      </c>
      <c r="AI90" s="2"/>
      <c r="AJ90" s="2"/>
      <c r="AK90" s="2"/>
      <c r="AL90" s="2"/>
      <c r="AM90" s="2"/>
      <c r="AN90" s="2" t="s">
        <v>849</v>
      </c>
      <c r="AO90" s="2"/>
      <c r="AP90" s="2"/>
      <c r="AQ90" s="2" t="s">
        <v>191</v>
      </c>
    </row>
    <row r="91" spans="1:43" ht="126">
      <c r="A91" s="2" t="s">
        <v>19</v>
      </c>
      <c r="B91" s="2" t="s">
        <v>898</v>
      </c>
      <c r="C91" s="2" t="s">
        <v>545</v>
      </c>
      <c r="D91" s="2"/>
      <c r="E91" s="2" t="s">
        <v>233</v>
      </c>
      <c r="F91" s="2" t="s">
        <v>562</v>
      </c>
      <c r="G91" s="2" t="s">
        <v>899</v>
      </c>
      <c r="H91" s="2" t="s">
        <v>900</v>
      </c>
      <c r="I91" s="2" t="s">
        <v>901</v>
      </c>
      <c r="J91" s="2" t="s">
        <v>902</v>
      </c>
      <c r="K91" s="2" t="s">
        <v>900</v>
      </c>
      <c r="L91" s="2" t="s">
        <v>900</v>
      </c>
      <c r="M91" s="2" t="s">
        <v>900</v>
      </c>
      <c r="N91" s="2" t="s">
        <v>900</v>
      </c>
      <c r="O91" s="2" t="s">
        <v>900</v>
      </c>
      <c r="P91" s="2" t="s">
        <v>900</v>
      </c>
      <c r="Q91" s="2" t="s">
        <v>900</v>
      </c>
      <c r="R91" s="2" t="s">
        <v>900</v>
      </c>
      <c r="S91" s="2" t="s">
        <v>900</v>
      </c>
      <c r="T91" s="2" t="s">
        <v>900</v>
      </c>
      <c r="U91" s="2"/>
      <c r="V91" s="2" t="s">
        <v>827</v>
      </c>
      <c r="W91" s="2"/>
      <c r="X91" s="2"/>
      <c r="Y91" s="2"/>
      <c r="Z91" s="2" t="s">
        <v>8</v>
      </c>
      <c r="AA91" s="2"/>
      <c r="AB91" s="2" t="s">
        <v>8</v>
      </c>
      <c r="AC91" s="2" t="s">
        <v>8</v>
      </c>
      <c r="AD91" s="2" t="s">
        <v>8</v>
      </c>
      <c r="AE91" s="2"/>
      <c r="AF91" s="2"/>
      <c r="AG91" s="2" t="s">
        <v>8</v>
      </c>
      <c r="AH91" s="3" t="b">
        <v>0</v>
      </c>
      <c r="AI91" s="2"/>
      <c r="AJ91" s="2"/>
      <c r="AK91" s="2"/>
      <c r="AL91" s="2"/>
      <c r="AM91" s="2"/>
      <c r="AN91" s="2" t="s">
        <v>903</v>
      </c>
      <c r="AO91" s="2"/>
      <c r="AP91" s="2"/>
      <c r="AQ91" s="2" t="s">
        <v>191</v>
      </c>
    </row>
    <row r="92" spans="1:43" ht="56">
      <c r="A92" s="2" t="s">
        <v>19</v>
      </c>
      <c r="B92" s="2" t="s">
        <v>904</v>
      </c>
      <c r="C92" s="2" t="s">
        <v>545</v>
      </c>
      <c r="D92" s="2"/>
      <c r="E92" s="2" t="s">
        <v>200</v>
      </c>
      <c r="F92" s="2" t="s">
        <v>562</v>
      </c>
      <c r="G92" s="2" t="s">
        <v>905</v>
      </c>
      <c r="H92" s="2" t="s">
        <v>867</v>
      </c>
      <c r="I92" s="2" t="s">
        <v>822</v>
      </c>
      <c r="J92" s="2" t="s">
        <v>823</v>
      </c>
      <c r="K92" s="2" t="s">
        <v>867</v>
      </c>
      <c r="L92" s="2" t="s">
        <v>867</v>
      </c>
      <c r="M92" s="2" t="s">
        <v>824</v>
      </c>
      <c r="N92" s="2" t="s">
        <v>824</v>
      </c>
      <c r="O92" s="2" t="s">
        <v>824</v>
      </c>
      <c r="P92" s="2" t="s">
        <v>825</v>
      </c>
      <c r="Q92" s="2" t="s">
        <v>825</v>
      </c>
      <c r="R92" s="2" t="s">
        <v>825</v>
      </c>
      <c r="S92" s="2" t="s">
        <v>826</v>
      </c>
      <c r="T92" s="2" t="s">
        <v>825</v>
      </c>
      <c r="U92" s="2"/>
      <c r="V92" s="2" t="s">
        <v>827</v>
      </c>
      <c r="W92" s="2"/>
      <c r="X92" s="2"/>
      <c r="Y92" s="2"/>
      <c r="Z92" s="2" t="s">
        <v>8</v>
      </c>
      <c r="AA92" s="2"/>
      <c r="AB92" s="2" t="s">
        <v>8</v>
      </c>
      <c r="AC92" s="2" t="s">
        <v>8</v>
      </c>
      <c r="AD92" s="2" t="s">
        <v>8</v>
      </c>
      <c r="AE92" s="2"/>
      <c r="AF92" s="2"/>
      <c r="AG92" s="2" t="s">
        <v>8</v>
      </c>
      <c r="AH92" s="3" t="b">
        <v>0</v>
      </c>
      <c r="AI92" s="2"/>
      <c r="AJ92" s="2"/>
      <c r="AK92" s="2"/>
      <c r="AL92" s="2"/>
      <c r="AM92" s="2"/>
      <c r="AN92" s="2" t="s">
        <v>906</v>
      </c>
      <c r="AO92" s="2"/>
      <c r="AP92" s="2"/>
      <c r="AQ92" s="2" t="s">
        <v>191</v>
      </c>
    </row>
    <row r="93" spans="1:43" ht="56">
      <c r="A93" s="2" t="s">
        <v>19</v>
      </c>
      <c r="B93" s="2" t="s">
        <v>907</v>
      </c>
      <c r="C93" s="2" t="s">
        <v>545</v>
      </c>
      <c r="D93" s="2"/>
      <c r="E93" s="2" t="s">
        <v>193</v>
      </c>
      <c r="F93" s="2" t="s">
        <v>572</v>
      </c>
      <c r="G93" s="2" t="s">
        <v>908</v>
      </c>
      <c r="H93" s="2" t="s">
        <v>821</v>
      </c>
      <c r="I93" s="2" t="s">
        <v>822</v>
      </c>
      <c r="J93" s="2" t="s">
        <v>823</v>
      </c>
      <c r="K93" s="2" t="s">
        <v>821</v>
      </c>
      <c r="L93" s="2" t="s">
        <v>821</v>
      </c>
      <c r="M93" s="2" t="s">
        <v>824</v>
      </c>
      <c r="N93" s="2" t="s">
        <v>824</v>
      </c>
      <c r="O93" s="2" t="s">
        <v>824</v>
      </c>
      <c r="P93" s="2" t="s">
        <v>825</v>
      </c>
      <c r="Q93" s="2" t="s">
        <v>825</v>
      </c>
      <c r="R93" s="2" t="s">
        <v>825</v>
      </c>
      <c r="S93" s="2" t="s">
        <v>826</v>
      </c>
      <c r="T93" s="2" t="s">
        <v>825</v>
      </c>
      <c r="U93" s="2"/>
      <c r="V93" s="2" t="s">
        <v>827</v>
      </c>
      <c r="W93" s="2"/>
      <c r="X93" s="2"/>
      <c r="Y93" s="2"/>
      <c r="Z93" s="2" t="s">
        <v>8</v>
      </c>
      <c r="AA93" s="2"/>
      <c r="AB93" s="2" t="s">
        <v>8</v>
      </c>
      <c r="AC93" s="2" t="s">
        <v>8</v>
      </c>
      <c r="AD93" s="2" t="s">
        <v>8</v>
      </c>
      <c r="AE93" s="2"/>
      <c r="AF93" s="2"/>
      <c r="AG93" s="2" t="s">
        <v>8</v>
      </c>
      <c r="AH93" s="3" t="b">
        <v>0</v>
      </c>
      <c r="AI93" s="2"/>
      <c r="AJ93" s="2"/>
      <c r="AK93" s="2"/>
      <c r="AL93" s="2"/>
      <c r="AM93" s="2"/>
      <c r="AN93" s="2" t="s">
        <v>849</v>
      </c>
      <c r="AO93" s="2"/>
      <c r="AP93" s="2"/>
      <c r="AQ93" s="2" t="s">
        <v>191</v>
      </c>
    </row>
    <row r="94" spans="1:43" ht="56">
      <c r="A94" s="2" t="s">
        <v>19</v>
      </c>
      <c r="B94" s="2" t="s">
        <v>909</v>
      </c>
      <c r="C94" s="2" t="s">
        <v>545</v>
      </c>
      <c r="D94" s="2"/>
      <c r="E94" s="2" t="s">
        <v>193</v>
      </c>
      <c r="F94" s="2" t="s">
        <v>562</v>
      </c>
      <c r="G94" s="2" t="s">
        <v>910</v>
      </c>
      <c r="H94" s="2" t="s">
        <v>911</v>
      </c>
      <c r="I94" s="2" t="s">
        <v>822</v>
      </c>
      <c r="J94" s="2" t="s">
        <v>823</v>
      </c>
      <c r="K94" s="2" t="s">
        <v>911</v>
      </c>
      <c r="L94" s="2" t="s">
        <v>911</v>
      </c>
      <c r="M94" s="2" t="s">
        <v>824</v>
      </c>
      <c r="N94" s="2" t="s">
        <v>824</v>
      </c>
      <c r="O94" s="2" t="s">
        <v>824</v>
      </c>
      <c r="P94" s="2" t="s">
        <v>825</v>
      </c>
      <c r="Q94" s="2" t="s">
        <v>821</v>
      </c>
      <c r="R94" s="2" t="s">
        <v>825</v>
      </c>
      <c r="S94" s="2" t="s">
        <v>826</v>
      </c>
      <c r="T94" s="2" t="s">
        <v>825</v>
      </c>
      <c r="U94" s="2"/>
      <c r="V94" s="2" t="s">
        <v>827</v>
      </c>
      <c r="W94" s="2"/>
      <c r="X94" s="2"/>
      <c r="Y94" s="2"/>
      <c r="Z94" s="2" t="s">
        <v>8</v>
      </c>
      <c r="AA94" s="2"/>
      <c r="AB94" s="2" t="s">
        <v>8</v>
      </c>
      <c r="AC94" s="2" t="s">
        <v>8</v>
      </c>
      <c r="AD94" s="2" t="s">
        <v>8</v>
      </c>
      <c r="AE94" s="2"/>
      <c r="AF94" s="2"/>
      <c r="AG94" s="2" t="s">
        <v>8</v>
      </c>
      <c r="AH94" s="3" t="b">
        <v>0</v>
      </c>
      <c r="AI94" s="2"/>
      <c r="AJ94" s="2"/>
      <c r="AK94" s="2"/>
      <c r="AL94" s="2"/>
      <c r="AM94" s="2"/>
      <c r="AN94" s="2" t="s">
        <v>912</v>
      </c>
      <c r="AO94" s="2"/>
      <c r="AP94" s="2"/>
      <c r="AQ94" s="2" t="s">
        <v>191</v>
      </c>
    </row>
    <row r="95" spans="1:43" ht="126">
      <c r="A95" s="2" t="s">
        <v>19</v>
      </c>
      <c r="B95" s="2" t="s">
        <v>913</v>
      </c>
      <c r="C95" s="2" t="s">
        <v>545</v>
      </c>
      <c r="D95" s="2"/>
      <c r="E95" s="2" t="s">
        <v>233</v>
      </c>
      <c r="F95" s="2" t="s">
        <v>546</v>
      </c>
      <c r="G95" s="2" t="s">
        <v>914</v>
      </c>
      <c r="H95" s="2" t="s">
        <v>900</v>
      </c>
      <c r="I95" s="2" t="s">
        <v>915</v>
      </c>
      <c r="J95" s="2" t="s">
        <v>916</v>
      </c>
      <c r="K95" s="2" t="s">
        <v>900</v>
      </c>
      <c r="L95" s="2" t="s">
        <v>900</v>
      </c>
      <c r="M95" s="2" t="s">
        <v>900</v>
      </c>
      <c r="N95" s="2" t="s">
        <v>900</v>
      </c>
      <c r="O95" s="2" t="s">
        <v>900</v>
      </c>
      <c r="P95" s="2" t="s">
        <v>900</v>
      </c>
      <c r="Q95" s="2" t="s">
        <v>900</v>
      </c>
      <c r="R95" s="2" t="s">
        <v>900</v>
      </c>
      <c r="S95" s="2" t="s">
        <v>900</v>
      </c>
      <c r="T95" s="2" t="s">
        <v>900</v>
      </c>
      <c r="U95" s="2"/>
      <c r="V95" s="2" t="s">
        <v>827</v>
      </c>
      <c r="W95" s="2"/>
      <c r="X95" s="2"/>
      <c r="Y95" s="2"/>
      <c r="Z95" s="2" t="s">
        <v>8</v>
      </c>
      <c r="AA95" s="2"/>
      <c r="AB95" s="2" t="s">
        <v>8</v>
      </c>
      <c r="AC95" s="2" t="s">
        <v>8</v>
      </c>
      <c r="AD95" s="2" t="s">
        <v>8</v>
      </c>
      <c r="AE95" s="2"/>
      <c r="AF95" s="2"/>
      <c r="AG95" s="2" t="s">
        <v>8</v>
      </c>
      <c r="AH95" s="3" t="b">
        <v>0</v>
      </c>
      <c r="AI95" s="2"/>
      <c r="AJ95" s="2"/>
      <c r="AK95" s="2"/>
      <c r="AL95" s="2"/>
      <c r="AM95" s="2"/>
      <c r="AN95" s="2" t="s">
        <v>917</v>
      </c>
      <c r="AO95" s="2"/>
      <c r="AP95" s="2"/>
      <c r="AQ95" s="2" t="s">
        <v>191</v>
      </c>
    </row>
    <row r="96" spans="1:43" ht="126">
      <c r="A96" s="2" t="s">
        <v>19</v>
      </c>
      <c r="B96" s="2" t="s">
        <v>918</v>
      </c>
      <c r="C96" s="2" t="s">
        <v>545</v>
      </c>
      <c r="D96" s="2"/>
      <c r="E96" s="2" t="s">
        <v>233</v>
      </c>
      <c r="F96" s="2" t="s">
        <v>546</v>
      </c>
      <c r="G96" s="2" t="s">
        <v>919</v>
      </c>
      <c r="H96" s="2" t="s">
        <v>900</v>
      </c>
      <c r="I96" s="2" t="s">
        <v>920</v>
      </c>
      <c r="J96" s="2" t="s">
        <v>921</v>
      </c>
      <c r="K96" s="2" t="s">
        <v>900</v>
      </c>
      <c r="L96" s="2" t="s">
        <v>900</v>
      </c>
      <c r="M96" s="2" t="s">
        <v>900</v>
      </c>
      <c r="N96" s="2" t="s">
        <v>900</v>
      </c>
      <c r="O96" s="2" t="s">
        <v>900</v>
      </c>
      <c r="P96" s="2" t="s">
        <v>900</v>
      </c>
      <c r="Q96" s="2" t="s">
        <v>900</v>
      </c>
      <c r="R96" s="2" t="s">
        <v>900</v>
      </c>
      <c r="S96" s="2" t="s">
        <v>900</v>
      </c>
      <c r="T96" s="2" t="s">
        <v>900</v>
      </c>
      <c r="U96" s="2"/>
      <c r="V96" s="2" t="s">
        <v>827</v>
      </c>
      <c r="W96" s="2"/>
      <c r="X96" s="2"/>
      <c r="Y96" s="2"/>
      <c r="Z96" s="2" t="s">
        <v>8</v>
      </c>
      <c r="AA96" s="2"/>
      <c r="AB96" s="2" t="s">
        <v>8</v>
      </c>
      <c r="AC96" s="2" t="s">
        <v>8</v>
      </c>
      <c r="AD96" s="2" t="s">
        <v>8</v>
      </c>
      <c r="AE96" s="2"/>
      <c r="AF96" s="2"/>
      <c r="AG96" s="2" t="s">
        <v>8</v>
      </c>
      <c r="AH96" s="3" t="b">
        <v>0</v>
      </c>
      <c r="AI96" s="2"/>
      <c r="AJ96" s="2"/>
      <c r="AK96" s="2"/>
      <c r="AL96" s="2"/>
      <c r="AM96" s="2"/>
      <c r="AN96" s="2" t="s">
        <v>922</v>
      </c>
      <c r="AO96" s="2"/>
      <c r="AP96" s="2"/>
      <c r="AQ96" s="2" t="s">
        <v>191</v>
      </c>
    </row>
    <row r="97" spans="1:43" ht="280">
      <c r="A97" s="2" t="s">
        <v>19</v>
      </c>
      <c r="B97" s="2" t="s">
        <v>383</v>
      </c>
      <c r="C97" s="2" t="s">
        <v>545</v>
      </c>
      <c r="D97" s="2"/>
      <c r="E97" s="2" t="s">
        <v>233</v>
      </c>
      <c r="F97" s="2" t="s">
        <v>546</v>
      </c>
      <c r="G97" s="2" t="s">
        <v>923</v>
      </c>
      <c r="H97" s="2" t="s">
        <v>900</v>
      </c>
      <c r="I97" s="2" t="s">
        <v>386</v>
      </c>
      <c r="J97" s="2" t="s">
        <v>924</v>
      </c>
      <c r="K97" s="2" t="s">
        <v>900</v>
      </c>
      <c r="L97" s="2" t="s">
        <v>900</v>
      </c>
      <c r="M97" s="2" t="s">
        <v>900</v>
      </c>
      <c r="N97" s="2" t="s">
        <v>900</v>
      </c>
      <c r="O97" s="2" t="s">
        <v>900</v>
      </c>
      <c r="P97" s="2" t="s">
        <v>900</v>
      </c>
      <c r="Q97" s="2" t="s">
        <v>900</v>
      </c>
      <c r="R97" s="2" t="s">
        <v>900</v>
      </c>
      <c r="S97" s="2" t="s">
        <v>900</v>
      </c>
      <c r="T97" s="2" t="s">
        <v>900</v>
      </c>
      <c r="U97" s="2"/>
      <c r="V97" s="2" t="s">
        <v>827</v>
      </c>
      <c r="W97" s="2"/>
      <c r="X97" s="2"/>
      <c r="Y97" s="2"/>
      <c r="Z97" s="2" t="s">
        <v>8</v>
      </c>
      <c r="AA97" s="2"/>
      <c r="AB97" s="2" t="s">
        <v>10</v>
      </c>
      <c r="AC97" s="2" t="s">
        <v>8</v>
      </c>
      <c r="AD97" s="2" t="s">
        <v>10</v>
      </c>
      <c r="AE97" s="2"/>
      <c r="AF97" s="2"/>
      <c r="AG97" s="2" t="s">
        <v>581</v>
      </c>
      <c r="AH97" s="3" t="b">
        <v>1</v>
      </c>
      <c r="AI97" s="2"/>
      <c r="AJ97" s="2"/>
      <c r="AK97" s="2"/>
      <c r="AL97" s="2"/>
      <c r="AM97" s="2"/>
      <c r="AN97" s="2" t="s">
        <v>925</v>
      </c>
      <c r="AO97" s="2"/>
      <c r="AP97" s="2"/>
      <c r="AQ97" s="2" t="s">
        <v>191</v>
      </c>
    </row>
    <row r="98" spans="1:43" ht="126">
      <c r="A98" s="2" t="s">
        <v>19</v>
      </c>
      <c r="B98" s="2" t="s">
        <v>926</v>
      </c>
      <c r="C98" s="2" t="s">
        <v>545</v>
      </c>
      <c r="D98" s="2"/>
      <c r="E98" s="2" t="s">
        <v>233</v>
      </c>
      <c r="F98" s="2" t="s">
        <v>572</v>
      </c>
      <c r="G98" s="2" t="s">
        <v>927</v>
      </c>
      <c r="H98" s="2" t="s">
        <v>900</v>
      </c>
      <c r="I98" s="2" t="s">
        <v>928</v>
      </c>
      <c r="J98" s="2" t="s">
        <v>929</v>
      </c>
      <c r="K98" s="2" t="s">
        <v>900</v>
      </c>
      <c r="L98" s="2" t="s">
        <v>900</v>
      </c>
      <c r="M98" s="2" t="s">
        <v>900</v>
      </c>
      <c r="N98" s="2" t="s">
        <v>900</v>
      </c>
      <c r="O98" s="2" t="s">
        <v>900</v>
      </c>
      <c r="P98" s="2" t="s">
        <v>900</v>
      </c>
      <c r="Q98" s="2" t="s">
        <v>900</v>
      </c>
      <c r="R98" s="2" t="s">
        <v>900</v>
      </c>
      <c r="S98" s="2" t="s">
        <v>900</v>
      </c>
      <c r="T98" s="2" t="s">
        <v>900</v>
      </c>
      <c r="U98" s="2"/>
      <c r="V98" s="2" t="s">
        <v>827</v>
      </c>
      <c r="W98" s="2"/>
      <c r="X98" s="2"/>
      <c r="Y98" s="2"/>
      <c r="Z98" s="2" t="s">
        <v>8</v>
      </c>
      <c r="AA98" s="2"/>
      <c r="AB98" s="2" t="s">
        <v>8</v>
      </c>
      <c r="AC98" s="2" t="s">
        <v>8</v>
      </c>
      <c r="AD98" s="2" t="s">
        <v>8</v>
      </c>
      <c r="AE98" s="2"/>
      <c r="AF98" s="2"/>
      <c r="AG98" s="2" t="s">
        <v>8</v>
      </c>
      <c r="AH98" s="3" t="b">
        <v>0</v>
      </c>
      <c r="AI98" s="2"/>
      <c r="AJ98" s="2"/>
      <c r="AK98" s="2"/>
      <c r="AL98" s="2"/>
      <c r="AM98" s="2"/>
      <c r="AN98" s="2" t="s">
        <v>930</v>
      </c>
      <c r="AO98" s="2"/>
      <c r="AP98" s="2"/>
      <c r="AQ98" s="2" t="s">
        <v>191</v>
      </c>
    </row>
    <row r="99" spans="1:43" ht="98">
      <c r="A99" s="2" t="s">
        <v>19</v>
      </c>
      <c r="B99" s="2" t="s">
        <v>931</v>
      </c>
      <c r="C99" s="2" t="s">
        <v>545</v>
      </c>
      <c r="D99" s="2"/>
      <c r="E99" s="2" t="s">
        <v>193</v>
      </c>
      <c r="F99" s="2" t="s">
        <v>572</v>
      </c>
      <c r="G99" s="2" t="s">
        <v>932</v>
      </c>
      <c r="H99" s="2" t="s">
        <v>911</v>
      </c>
      <c r="I99" s="2" t="s">
        <v>822</v>
      </c>
      <c r="J99" s="2" t="s">
        <v>823</v>
      </c>
      <c r="K99" s="2" t="s">
        <v>911</v>
      </c>
      <c r="L99" s="2" t="s">
        <v>911</v>
      </c>
      <c r="M99" s="2" t="s">
        <v>824</v>
      </c>
      <c r="N99" s="2" t="s">
        <v>824</v>
      </c>
      <c r="O99" s="2" t="s">
        <v>824</v>
      </c>
      <c r="P99" s="2" t="s">
        <v>825</v>
      </c>
      <c r="Q99" s="2" t="s">
        <v>825</v>
      </c>
      <c r="R99" s="2" t="s">
        <v>911</v>
      </c>
      <c r="S99" s="2" t="s">
        <v>933</v>
      </c>
      <c r="T99" s="2" t="s">
        <v>825</v>
      </c>
      <c r="U99" s="2"/>
      <c r="V99" s="2" t="s">
        <v>827</v>
      </c>
      <c r="W99" s="2"/>
      <c r="X99" s="2"/>
      <c r="Y99" s="2"/>
      <c r="Z99" s="2" t="s">
        <v>8</v>
      </c>
      <c r="AA99" s="2"/>
      <c r="AB99" s="2" t="s">
        <v>8</v>
      </c>
      <c r="AC99" s="2" t="s">
        <v>8</v>
      </c>
      <c r="AD99" s="2" t="s">
        <v>8</v>
      </c>
      <c r="AE99" s="2"/>
      <c r="AF99" s="2"/>
      <c r="AG99" s="2" t="s">
        <v>8</v>
      </c>
      <c r="AH99" s="3" t="b">
        <v>0</v>
      </c>
      <c r="AI99" s="2"/>
      <c r="AJ99" s="2"/>
      <c r="AK99" s="2"/>
      <c r="AL99" s="2"/>
      <c r="AM99" s="2"/>
      <c r="AN99" s="2" t="s">
        <v>934</v>
      </c>
      <c r="AO99" s="2"/>
      <c r="AP99" s="2"/>
      <c r="AQ99" s="2" t="s">
        <v>191</v>
      </c>
    </row>
    <row r="100" spans="1:43" ht="126">
      <c r="A100" s="2" t="s">
        <v>19</v>
      </c>
      <c r="B100" s="2" t="s">
        <v>935</v>
      </c>
      <c r="C100" s="2" t="s">
        <v>545</v>
      </c>
      <c r="D100" s="2"/>
      <c r="E100" s="2" t="s">
        <v>233</v>
      </c>
      <c r="F100" s="2" t="s">
        <v>562</v>
      </c>
      <c r="G100" s="2" t="s">
        <v>936</v>
      </c>
      <c r="H100" s="2" t="s">
        <v>900</v>
      </c>
      <c r="I100" s="2" t="s">
        <v>937</v>
      </c>
      <c r="J100" s="2" t="s">
        <v>938</v>
      </c>
      <c r="K100" s="2" t="s">
        <v>900</v>
      </c>
      <c r="L100" s="2" t="s">
        <v>900</v>
      </c>
      <c r="M100" s="2" t="s">
        <v>900</v>
      </c>
      <c r="N100" s="2" t="s">
        <v>900</v>
      </c>
      <c r="O100" s="2" t="s">
        <v>900</v>
      </c>
      <c r="P100" s="2" t="s">
        <v>900</v>
      </c>
      <c r="Q100" s="2" t="s">
        <v>900</v>
      </c>
      <c r="R100" s="2" t="s">
        <v>900</v>
      </c>
      <c r="S100" s="2" t="s">
        <v>900</v>
      </c>
      <c r="T100" s="2" t="s">
        <v>900</v>
      </c>
      <c r="U100" s="2"/>
      <c r="V100" s="2" t="s">
        <v>827</v>
      </c>
      <c r="W100" s="2"/>
      <c r="X100" s="2"/>
      <c r="Y100" s="2"/>
      <c r="Z100" s="2" t="s">
        <v>8</v>
      </c>
      <c r="AA100" s="2"/>
      <c r="AB100" s="2" t="s">
        <v>8</v>
      </c>
      <c r="AC100" s="2" t="s">
        <v>8</v>
      </c>
      <c r="AD100" s="2" t="s">
        <v>8</v>
      </c>
      <c r="AE100" s="2"/>
      <c r="AF100" s="2"/>
      <c r="AG100" s="2" t="s">
        <v>8</v>
      </c>
      <c r="AH100" s="3" t="b">
        <v>0</v>
      </c>
      <c r="AI100" s="2"/>
      <c r="AJ100" s="2"/>
      <c r="AK100" s="2"/>
      <c r="AL100" s="2"/>
      <c r="AM100" s="2"/>
      <c r="AN100" s="2" t="s">
        <v>939</v>
      </c>
      <c r="AO100" s="2"/>
      <c r="AP100" s="2"/>
      <c r="AQ100" s="2" t="s">
        <v>191</v>
      </c>
    </row>
    <row r="101" spans="1:43" ht="56">
      <c r="A101" s="2" t="s">
        <v>19</v>
      </c>
      <c r="B101" s="2" t="s">
        <v>940</v>
      </c>
      <c r="C101" s="2" t="s">
        <v>545</v>
      </c>
      <c r="D101" s="2"/>
      <c r="E101" s="2" t="s">
        <v>185</v>
      </c>
      <c r="F101" s="2" t="s">
        <v>562</v>
      </c>
      <c r="G101" s="2" t="s">
        <v>941</v>
      </c>
      <c r="H101" s="2" t="s">
        <v>942</v>
      </c>
      <c r="I101" s="2" t="s">
        <v>943</v>
      </c>
      <c r="J101" s="2" t="s">
        <v>944</v>
      </c>
      <c r="K101" s="2" t="s">
        <v>942</v>
      </c>
      <c r="L101" s="2" t="s">
        <v>942</v>
      </c>
      <c r="M101" s="2" t="s">
        <v>824</v>
      </c>
      <c r="N101" s="2" t="s">
        <v>824</v>
      </c>
      <c r="O101" s="2" t="s">
        <v>824</v>
      </c>
      <c r="P101" s="2" t="s">
        <v>825</v>
      </c>
      <c r="Q101" s="2" t="s">
        <v>825</v>
      </c>
      <c r="R101" s="2" t="s">
        <v>825</v>
      </c>
      <c r="S101" s="2" t="s">
        <v>826</v>
      </c>
      <c r="T101" s="2" t="s">
        <v>825</v>
      </c>
      <c r="U101" s="2"/>
      <c r="V101" s="2" t="s">
        <v>827</v>
      </c>
      <c r="W101" s="2"/>
      <c r="X101" s="2"/>
      <c r="Y101" s="2"/>
      <c r="Z101" s="2" t="s">
        <v>8</v>
      </c>
      <c r="AA101" s="2"/>
      <c r="AB101" s="2" t="s">
        <v>8</v>
      </c>
      <c r="AC101" s="2" t="s">
        <v>8</v>
      </c>
      <c r="AD101" s="2" t="s">
        <v>8</v>
      </c>
      <c r="AE101" s="2"/>
      <c r="AF101" s="2"/>
      <c r="AG101" s="2" t="s">
        <v>8</v>
      </c>
      <c r="AH101" s="3" t="b">
        <v>0</v>
      </c>
      <c r="AI101" s="2"/>
      <c r="AJ101" s="2"/>
      <c r="AK101" s="2"/>
      <c r="AL101" s="2"/>
      <c r="AM101" s="2"/>
      <c r="AN101" s="2" t="s">
        <v>945</v>
      </c>
      <c r="AO101" s="2"/>
      <c r="AP101" s="2"/>
      <c r="AQ101" s="2" t="s">
        <v>191</v>
      </c>
    </row>
    <row r="102" spans="1:43" ht="56">
      <c r="A102" s="2" t="s">
        <v>19</v>
      </c>
      <c r="B102" s="2" t="s">
        <v>946</v>
      </c>
      <c r="C102" s="2" t="s">
        <v>545</v>
      </c>
      <c r="D102" s="2"/>
      <c r="E102" s="2" t="s">
        <v>193</v>
      </c>
      <c r="F102" s="2" t="s">
        <v>562</v>
      </c>
      <c r="G102" s="2" t="s">
        <v>947</v>
      </c>
      <c r="H102" s="2" t="s">
        <v>948</v>
      </c>
      <c r="I102" s="2" t="s">
        <v>822</v>
      </c>
      <c r="J102" s="2" t="s">
        <v>823</v>
      </c>
      <c r="K102" s="2" t="s">
        <v>948</v>
      </c>
      <c r="L102" s="2" t="s">
        <v>948</v>
      </c>
      <c r="M102" s="2" t="s">
        <v>824</v>
      </c>
      <c r="N102" s="2" t="s">
        <v>824</v>
      </c>
      <c r="O102" s="2" t="s">
        <v>824</v>
      </c>
      <c r="P102" s="2" t="s">
        <v>825</v>
      </c>
      <c r="Q102" s="2" t="s">
        <v>825</v>
      </c>
      <c r="R102" s="2" t="s">
        <v>825</v>
      </c>
      <c r="S102" s="2" t="s">
        <v>826</v>
      </c>
      <c r="T102" s="2" t="s">
        <v>825</v>
      </c>
      <c r="U102" s="2"/>
      <c r="V102" s="2" t="s">
        <v>827</v>
      </c>
      <c r="W102" s="2"/>
      <c r="X102" s="2"/>
      <c r="Y102" s="2"/>
      <c r="Z102" s="2" t="s">
        <v>8</v>
      </c>
      <c r="AA102" s="2"/>
      <c r="AB102" s="2" t="s">
        <v>8</v>
      </c>
      <c r="AC102" s="2" t="s">
        <v>8</v>
      </c>
      <c r="AD102" s="2" t="s">
        <v>8</v>
      </c>
      <c r="AE102" s="2"/>
      <c r="AF102" s="2"/>
      <c r="AG102" s="2" t="s">
        <v>8</v>
      </c>
      <c r="AH102" s="3" t="b">
        <v>0</v>
      </c>
      <c r="AI102" s="2"/>
      <c r="AJ102" s="2"/>
      <c r="AK102" s="2"/>
      <c r="AL102" s="2"/>
      <c r="AM102" s="2"/>
      <c r="AN102" s="2" t="s">
        <v>949</v>
      </c>
      <c r="AO102" s="2"/>
      <c r="AP102" s="2"/>
      <c r="AQ102" s="2" t="s">
        <v>191</v>
      </c>
    </row>
    <row r="103" spans="1:43" ht="56">
      <c r="A103" s="2" t="s">
        <v>19</v>
      </c>
      <c r="B103" s="2" t="s">
        <v>950</v>
      </c>
      <c r="C103" s="2" t="s">
        <v>680</v>
      </c>
      <c r="D103" s="2"/>
      <c r="E103" s="2" t="s">
        <v>193</v>
      </c>
      <c r="F103" s="2" t="s">
        <v>572</v>
      </c>
      <c r="G103" s="2" t="s">
        <v>951</v>
      </c>
      <c r="H103" s="2" t="s">
        <v>852</v>
      </c>
      <c r="I103" s="2" t="s">
        <v>822</v>
      </c>
      <c r="J103" s="2" t="s">
        <v>823</v>
      </c>
      <c r="K103" s="2" t="s">
        <v>852</v>
      </c>
      <c r="L103" s="2" t="s">
        <v>852</v>
      </c>
      <c r="M103" s="2" t="s">
        <v>824</v>
      </c>
      <c r="N103" s="2" t="s">
        <v>824</v>
      </c>
      <c r="O103" s="2" t="s">
        <v>824</v>
      </c>
      <c r="P103" s="2" t="s">
        <v>825</v>
      </c>
      <c r="Q103" s="2" t="s">
        <v>825</v>
      </c>
      <c r="R103" s="2" t="s">
        <v>825</v>
      </c>
      <c r="S103" s="2" t="s">
        <v>826</v>
      </c>
      <c r="T103" s="2" t="s">
        <v>825</v>
      </c>
      <c r="U103" s="2"/>
      <c r="V103" s="2" t="s">
        <v>827</v>
      </c>
      <c r="W103" s="2"/>
      <c r="X103" s="2"/>
      <c r="Y103" s="2"/>
      <c r="Z103" s="2" t="s">
        <v>8</v>
      </c>
      <c r="AA103" s="2"/>
      <c r="AB103" s="2" t="s">
        <v>8</v>
      </c>
      <c r="AC103" s="2" t="s">
        <v>8</v>
      </c>
      <c r="AD103" s="2" t="s">
        <v>8</v>
      </c>
      <c r="AE103" s="2"/>
      <c r="AF103" s="2"/>
      <c r="AG103" s="2" t="s">
        <v>8</v>
      </c>
      <c r="AH103" s="3" t="b">
        <v>0</v>
      </c>
      <c r="AI103" s="2"/>
      <c r="AJ103" s="2"/>
      <c r="AK103" s="2"/>
      <c r="AL103" s="2"/>
      <c r="AM103" s="2"/>
      <c r="AN103" s="2" t="s">
        <v>853</v>
      </c>
      <c r="AO103" s="2"/>
      <c r="AP103" s="2"/>
      <c r="AQ103" s="2" t="s">
        <v>191</v>
      </c>
    </row>
    <row r="104" spans="1:43" ht="56">
      <c r="A104" s="2" t="s">
        <v>19</v>
      </c>
      <c r="B104" s="2" t="s">
        <v>952</v>
      </c>
      <c r="C104" s="2" t="s">
        <v>680</v>
      </c>
      <c r="D104" s="2"/>
      <c r="E104" s="2" t="s">
        <v>193</v>
      </c>
      <c r="F104" s="2" t="s">
        <v>562</v>
      </c>
      <c r="G104" s="2" t="s">
        <v>953</v>
      </c>
      <c r="H104" s="2" t="s">
        <v>821</v>
      </c>
      <c r="I104" s="2" t="s">
        <v>822</v>
      </c>
      <c r="J104" s="2" t="s">
        <v>823</v>
      </c>
      <c r="K104" s="2" t="s">
        <v>821</v>
      </c>
      <c r="L104" s="2" t="s">
        <v>821</v>
      </c>
      <c r="M104" s="2" t="s">
        <v>824</v>
      </c>
      <c r="N104" s="2" t="s">
        <v>824</v>
      </c>
      <c r="O104" s="2" t="s">
        <v>824</v>
      </c>
      <c r="P104" s="2" t="s">
        <v>825</v>
      </c>
      <c r="Q104" s="2" t="s">
        <v>825</v>
      </c>
      <c r="R104" s="2" t="s">
        <v>825</v>
      </c>
      <c r="S104" s="2" t="s">
        <v>826</v>
      </c>
      <c r="T104" s="2" t="s">
        <v>825</v>
      </c>
      <c r="U104" s="2"/>
      <c r="V104" s="2" t="s">
        <v>827</v>
      </c>
      <c r="W104" s="2"/>
      <c r="X104" s="2"/>
      <c r="Y104" s="2"/>
      <c r="Z104" s="2" t="s">
        <v>8</v>
      </c>
      <c r="AA104" s="2"/>
      <c r="AB104" s="2" t="s">
        <v>8</v>
      </c>
      <c r="AC104" s="2" t="s">
        <v>8</v>
      </c>
      <c r="AD104" s="2" t="s">
        <v>8</v>
      </c>
      <c r="AE104" s="2"/>
      <c r="AF104" s="2"/>
      <c r="AG104" s="2" t="s">
        <v>8</v>
      </c>
      <c r="AH104" s="3" t="b">
        <v>0</v>
      </c>
      <c r="AI104" s="2"/>
      <c r="AJ104" s="2"/>
      <c r="AK104" s="2"/>
      <c r="AL104" s="2"/>
      <c r="AM104" s="2"/>
      <c r="AN104" s="2" t="s">
        <v>849</v>
      </c>
      <c r="AO104" s="2"/>
      <c r="AP104" s="2"/>
      <c r="AQ104" s="2" t="s">
        <v>191</v>
      </c>
    </row>
    <row r="105" spans="1:43" ht="196">
      <c r="A105" s="2" t="s">
        <v>19</v>
      </c>
      <c r="B105" s="2" t="s">
        <v>387</v>
      </c>
      <c r="C105" s="2" t="s">
        <v>680</v>
      </c>
      <c r="D105" s="2"/>
      <c r="E105" s="2" t="s">
        <v>193</v>
      </c>
      <c r="F105" s="2" t="s">
        <v>546</v>
      </c>
      <c r="G105" s="2" t="s">
        <v>954</v>
      </c>
      <c r="H105" s="2" t="s">
        <v>942</v>
      </c>
      <c r="I105" s="2" t="s">
        <v>822</v>
      </c>
      <c r="J105" s="2" t="s">
        <v>823</v>
      </c>
      <c r="K105" s="2" t="s">
        <v>942</v>
      </c>
      <c r="L105" s="2" t="s">
        <v>942</v>
      </c>
      <c r="M105" s="2" t="s">
        <v>824</v>
      </c>
      <c r="N105" s="2" t="s">
        <v>824</v>
      </c>
      <c r="O105" s="2" t="s">
        <v>824</v>
      </c>
      <c r="P105" s="2" t="s">
        <v>825</v>
      </c>
      <c r="Q105" s="2" t="s">
        <v>825</v>
      </c>
      <c r="R105" s="2" t="s">
        <v>825</v>
      </c>
      <c r="S105" s="2" t="s">
        <v>826</v>
      </c>
      <c r="T105" s="2" t="s">
        <v>825</v>
      </c>
      <c r="U105" s="2"/>
      <c r="V105" s="2" t="s">
        <v>827</v>
      </c>
      <c r="W105" s="2"/>
      <c r="X105" s="2"/>
      <c r="Y105" s="2"/>
      <c r="Z105" s="2" t="s">
        <v>8</v>
      </c>
      <c r="AA105" s="2"/>
      <c r="AB105" s="2" t="s">
        <v>581</v>
      </c>
      <c r="AC105" s="2" t="s">
        <v>8</v>
      </c>
      <c r="AD105" s="2" t="s">
        <v>8</v>
      </c>
      <c r="AE105" s="2"/>
      <c r="AF105" s="2"/>
      <c r="AG105" s="2" t="s">
        <v>581</v>
      </c>
      <c r="AH105" s="3" t="b">
        <v>1</v>
      </c>
      <c r="AI105" s="2"/>
      <c r="AJ105" s="2"/>
      <c r="AK105" s="2"/>
      <c r="AL105" s="2"/>
      <c r="AM105" s="2"/>
      <c r="AN105" s="2" t="s">
        <v>955</v>
      </c>
      <c r="AO105" s="2"/>
      <c r="AP105" s="2"/>
      <c r="AQ105" s="2" t="s">
        <v>191</v>
      </c>
    </row>
    <row r="106" spans="1:43" ht="252">
      <c r="A106" s="2" t="s">
        <v>19</v>
      </c>
      <c r="B106" s="2" t="s">
        <v>199</v>
      </c>
      <c r="C106" s="2" t="s">
        <v>680</v>
      </c>
      <c r="D106" s="2"/>
      <c r="E106" s="2" t="s">
        <v>200</v>
      </c>
      <c r="F106" s="2" t="s">
        <v>572</v>
      </c>
      <c r="G106" s="2" t="s">
        <v>202</v>
      </c>
      <c r="H106" s="2" t="s">
        <v>956</v>
      </c>
      <c r="I106" s="2" t="s">
        <v>822</v>
      </c>
      <c r="J106" s="2" t="s">
        <v>823</v>
      </c>
      <c r="K106" s="2" t="s">
        <v>956</v>
      </c>
      <c r="L106" s="2" t="s">
        <v>956</v>
      </c>
      <c r="M106" s="2" t="s">
        <v>824</v>
      </c>
      <c r="N106" s="2" t="s">
        <v>824</v>
      </c>
      <c r="O106" s="2" t="s">
        <v>844</v>
      </c>
      <c r="P106" s="2" t="s">
        <v>825</v>
      </c>
      <c r="Q106" s="2" t="s">
        <v>825</v>
      </c>
      <c r="R106" s="2" t="s">
        <v>825</v>
      </c>
      <c r="S106" s="2" t="s">
        <v>826</v>
      </c>
      <c r="T106" s="2" t="s">
        <v>825</v>
      </c>
      <c r="U106" s="2"/>
      <c r="V106" s="2" t="s">
        <v>827</v>
      </c>
      <c r="W106" s="2"/>
      <c r="X106" s="2"/>
      <c r="Y106" s="2"/>
      <c r="Z106" s="2" t="s">
        <v>8</v>
      </c>
      <c r="AA106" s="2"/>
      <c r="AB106" s="2" t="s">
        <v>10</v>
      </c>
      <c r="AC106" s="2" t="s">
        <v>8</v>
      </c>
      <c r="AD106" s="2" t="s">
        <v>550</v>
      </c>
      <c r="AE106" s="2"/>
      <c r="AF106" s="2"/>
      <c r="AG106" s="2" t="s">
        <v>10</v>
      </c>
      <c r="AH106" s="3" t="b">
        <v>1</v>
      </c>
      <c r="AI106" s="2"/>
      <c r="AJ106" s="2"/>
      <c r="AK106" s="2"/>
      <c r="AL106" s="2"/>
      <c r="AM106" s="2"/>
      <c r="AN106" s="2" t="s">
        <v>957</v>
      </c>
      <c r="AO106" s="2"/>
      <c r="AP106" s="2"/>
      <c r="AQ106" s="2" t="s">
        <v>191</v>
      </c>
    </row>
    <row r="107" spans="1:43" ht="56">
      <c r="A107" s="2" t="s">
        <v>19</v>
      </c>
      <c r="B107" s="2" t="s">
        <v>958</v>
      </c>
      <c r="C107" s="2" t="s">
        <v>680</v>
      </c>
      <c r="D107" s="2"/>
      <c r="E107" s="2" t="s">
        <v>193</v>
      </c>
      <c r="F107" s="2" t="s">
        <v>572</v>
      </c>
      <c r="G107" s="2" t="s">
        <v>959</v>
      </c>
      <c r="H107" s="2" t="s">
        <v>867</v>
      </c>
      <c r="I107" s="2" t="s">
        <v>822</v>
      </c>
      <c r="J107" s="2" t="s">
        <v>823</v>
      </c>
      <c r="K107" s="2" t="s">
        <v>867</v>
      </c>
      <c r="L107" s="2" t="s">
        <v>867</v>
      </c>
      <c r="M107" s="2" t="s">
        <v>824</v>
      </c>
      <c r="N107" s="2" t="s">
        <v>824</v>
      </c>
      <c r="O107" s="2" t="s">
        <v>824</v>
      </c>
      <c r="P107" s="2" t="s">
        <v>825</v>
      </c>
      <c r="Q107" s="2" t="s">
        <v>825</v>
      </c>
      <c r="R107" s="2" t="s">
        <v>825</v>
      </c>
      <c r="S107" s="2" t="s">
        <v>826</v>
      </c>
      <c r="T107" s="2" t="s">
        <v>825</v>
      </c>
      <c r="U107" s="2"/>
      <c r="V107" s="2" t="s">
        <v>827</v>
      </c>
      <c r="W107" s="2"/>
      <c r="X107" s="2"/>
      <c r="Y107" s="2"/>
      <c r="Z107" s="2" t="s">
        <v>8</v>
      </c>
      <c r="AA107" s="2"/>
      <c r="AB107" s="2" t="s">
        <v>8</v>
      </c>
      <c r="AC107" s="2" t="s">
        <v>8</v>
      </c>
      <c r="AD107" s="2" t="s">
        <v>8</v>
      </c>
      <c r="AE107" s="2"/>
      <c r="AF107" s="2"/>
      <c r="AG107" s="2" t="s">
        <v>8</v>
      </c>
      <c r="AH107" s="3" t="b">
        <v>0</v>
      </c>
      <c r="AI107" s="2"/>
      <c r="AJ107" s="2"/>
      <c r="AK107" s="2"/>
      <c r="AL107" s="2"/>
      <c r="AM107" s="2"/>
      <c r="AN107" s="2" t="s">
        <v>960</v>
      </c>
      <c r="AO107" s="2"/>
      <c r="AP107" s="2"/>
      <c r="AQ107" s="2" t="s">
        <v>191</v>
      </c>
    </row>
    <row r="108" spans="1:43" ht="280">
      <c r="A108" s="2" t="s">
        <v>19</v>
      </c>
      <c r="B108" s="2" t="s">
        <v>192</v>
      </c>
      <c r="C108" s="2" t="s">
        <v>680</v>
      </c>
      <c r="D108" s="2"/>
      <c r="E108" s="2" t="s">
        <v>193</v>
      </c>
      <c r="F108" s="2" t="s">
        <v>562</v>
      </c>
      <c r="G108" s="2" t="s">
        <v>195</v>
      </c>
      <c r="H108" s="2" t="s">
        <v>961</v>
      </c>
      <c r="I108" s="2" t="s">
        <v>822</v>
      </c>
      <c r="J108" s="2" t="s">
        <v>823</v>
      </c>
      <c r="K108" s="2" t="s">
        <v>961</v>
      </c>
      <c r="L108" s="2" t="s">
        <v>961</v>
      </c>
      <c r="M108" s="2" t="s">
        <v>824</v>
      </c>
      <c r="N108" s="2" t="s">
        <v>824</v>
      </c>
      <c r="O108" s="2" t="s">
        <v>844</v>
      </c>
      <c r="P108" s="2" t="s">
        <v>825</v>
      </c>
      <c r="Q108" s="2" t="s">
        <v>825</v>
      </c>
      <c r="R108" s="2" t="s">
        <v>825</v>
      </c>
      <c r="S108" s="2" t="s">
        <v>826</v>
      </c>
      <c r="T108" s="2" t="s">
        <v>825</v>
      </c>
      <c r="U108" s="2"/>
      <c r="V108" s="2" t="s">
        <v>827</v>
      </c>
      <c r="W108" s="2"/>
      <c r="X108" s="2"/>
      <c r="Y108" s="2"/>
      <c r="Z108" s="2" t="s">
        <v>8</v>
      </c>
      <c r="AA108" s="2"/>
      <c r="AB108" s="2" t="s">
        <v>10</v>
      </c>
      <c r="AC108" s="2" t="s">
        <v>8</v>
      </c>
      <c r="AD108" s="2" t="s">
        <v>550</v>
      </c>
      <c r="AE108" s="2"/>
      <c r="AF108" s="2"/>
      <c r="AG108" s="2" t="s">
        <v>10</v>
      </c>
      <c r="AH108" s="3" t="b">
        <v>1</v>
      </c>
      <c r="AI108" s="2"/>
      <c r="AJ108" s="2"/>
      <c r="AK108" s="2"/>
      <c r="AL108" s="2"/>
      <c r="AM108" s="2"/>
      <c r="AN108" s="2" t="s">
        <v>962</v>
      </c>
      <c r="AO108" s="2"/>
      <c r="AP108" s="2"/>
      <c r="AQ108" s="2" t="s">
        <v>191</v>
      </c>
    </row>
    <row r="109" spans="1:43" ht="56">
      <c r="A109" s="2" t="s">
        <v>19</v>
      </c>
      <c r="B109" s="2" t="s">
        <v>963</v>
      </c>
      <c r="C109" s="2" t="s">
        <v>680</v>
      </c>
      <c r="D109" s="2"/>
      <c r="E109" s="2" t="s">
        <v>200</v>
      </c>
      <c r="F109" s="2" t="s">
        <v>546</v>
      </c>
      <c r="G109" s="2" t="s">
        <v>964</v>
      </c>
      <c r="H109" s="2" t="s">
        <v>867</v>
      </c>
      <c r="I109" s="2" t="s">
        <v>822</v>
      </c>
      <c r="J109" s="2" t="s">
        <v>823</v>
      </c>
      <c r="K109" s="2" t="s">
        <v>867</v>
      </c>
      <c r="L109" s="2" t="s">
        <v>867</v>
      </c>
      <c r="M109" s="2" t="s">
        <v>824</v>
      </c>
      <c r="N109" s="2" t="s">
        <v>824</v>
      </c>
      <c r="O109" s="2" t="s">
        <v>824</v>
      </c>
      <c r="P109" s="2" t="s">
        <v>825</v>
      </c>
      <c r="Q109" s="2" t="s">
        <v>825</v>
      </c>
      <c r="R109" s="2" t="s">
        <v>825</v>
      </c>
      <c r="S109" s="2" t="s">
        <v>826</v>
      </c>
      <c r="T109" s="2" t="s">
        <v>825</v>
      </c>
      <c r="U109" s="2"/>
      <c r="V109" s="2" t="s">
        <v>827</v>
      </c>
      <c r="W109" s="2"/>
      <c r="X109" s="2"/>
      <c r="Y109" s="2"/>
      <c r="Z109" s="2" t="s">
        <v>8</v>
      </c>
      <c r="AA109" s="2"/>
      <c r="AB109" s="2" t="s">
        <v>8</v>
      </c>
      <c r="AC109" s="2" t="s">
        <v>8</v>
      </c>
      <c r="AD109" s="2" t="s">
        <v>8</v>
      </c>
      <c r="AE109" s="2"/>
      <c r="AF109" s="2"/>
      <c r="AG109" s="2" t="s">
        <v>8</v>
      </c>
      <c r="AH109" s="3" t="b">
        <v>0</v>
      </c>
      <c r="AI109" s="2"/>
      <c r="AJ109" s="2"/>
      <c r="AK109" s="2"/>
      <c r="AL109" s="2"/>
      <c r="AM109" s="2"/>
      <c r="AN109" s="2" t="s">
        <v>906</v>
      </c>
      <c r="AO109" s="2"/>
      <c r="AP109" s="2"/>
      <c r="AQ109" s="2" t="s">
        <v>191</v>
      </c>
    </row>
    <row r="110" spans="1:43" ht="56">
      <c r="A110" s="2" t="s">
        <v>19</v>
      </c>
      <c r="B110" s="2" t="s">
        <v>965</v>
      </c>
      <c r="C110" s="2" t="s">
        <v>680</v>
      </c>
      <c r="D110" s="2"/>
      <c r="E110" s="2" t="s">
        <v>193</v>
      </c>
      <c r="F110" s="2" t="s">
        <v>546</v>
      </c>
      <c r="G110" s="2" t="s">
        <v>966</v>
      </c>
      <c r="H110" s="2" t="s">
        <v>821</v>
      </c>
      <c r="I110" s="2" t="s">
        <v>822</v>
      </c>
      <c r="J110" s="2" t="s">
        <v>823</v>
      </c>
      <c r="K110" s="2" t="s">
        <v>821</v>
      </c>
      <c r="L110" s="2" t="s">
        <v>821</v>
      </c>
      <c r="M110" s="2" t="s">
        <v>824</v>
      </c>
      <c r="N110" s="2" t="s">
        <v>824</v>
      </c>
      <c r="O110" s="2" t="s">
        <v>824</v>
      </c>
      <c r="P110" s="2" t="s">
        <v>825</v>
      </c>
      <c r="Q110" s="2" t="s">
        <v>825</v>
      </c>
      <c r="R110" s="2" t="s">
        <v>825</v>
      </c>
      <c r="S110" s="2" t="s">
        <v>826</v>
      </c>
      <c r="T110" s="2" t="s">
        <v>825</v>
      </c>
      <c r="U110" s="2"/>
      <c r="V110" s="2" t="s">
        <v>827</v>
      </c>
      <c r="W110" s="2"/>
      <c r="X110" s="2"/>
      <c r="Y110" s="2"/>
      <c r="Z110" s="2" t="s">
        <v>8</v>
      </c>
      <c r="AA110" s="2"/>
      <c r="AB110" s="2" t="s">
        <v>8</v>
      </c>
      <c r="AC110" s="2" t="s">
        <v>8</v>
      </c>
      <c r="AD110" s="2" t="s">
        <v>8</v>
      </c>
      <c r="AE110" s="2"/>
      <c r="AF110" s="2"/>
      <c r="AG110" s="2" t="s">
        <v>8</v>
      </c>
      <c r="AH110" s="3" t="b">
        <v>0</v>
      </c>
      <c r="AI110" s="2"/>
      <c r="AJ110" s="2"/>
      <c r="AK110" s="2"/>
      <c r="AL110" s="2"/>
      <c r="AM110" s="2"/>
      <c r="AN110" s="2" t="s">
        <v>849</v>
      </c>
      <c r="AO110" s="2"/>
      <c r="AP110" s="2"/>
      <c r="AQ110" s="2" t="s">
        <v>191</v>
      </c>
    </row>
    <row r="111" spans="1:43" ht="98">
      <c r="A111" s="2" t="s">
        <v>19</v>
      </c>
      <c r="B111" s="2" t="s">
        <v>967</v>
      </c>
      <c r="C111" s="2" t="s">
        <v>680</v>
      </c>
      <c r="D111" s="2"/>
      <c r="E111" s="2" t="s">
        <v>193</v>
      </c>
      <c r="F111" s="2" t="s">
        <v>562</v>
      </c>
      <c r="G111" s="2" t="s">
        <v>968</v>
      </c>
      <c r="H111" s="2" t="s">
        <v>821</v>
      </c>
      <c r="I111" s="2" t="s">
        <v>822</v>
      </c>
      <c r="J111" s="2" t="s">
        <v>823</v>
      </c>
      <c r="K111" s="2" t="s">
        <v>821</v>
      </c>
      <c r="L111" s="2" t="s">
        <v>821</v>
      </c>
      <c r="M111" s="2" t="s">
        <v>824</v>
      </c>
      <c r="N111" s="2" t="s">
        <v>824</v>
      </c>
      <c r="O111" s="2" t="s">
        <v>824</v>
      </c>
      <c r="P111" s="2" t="s">
        <v>825</v>
      </c>
      <c r="Q111" s="2" t="s">
        <v>825</v>
      </c>
      <c r="R111" s="2" t="s">
        <v>821</v>
      </c>
      <c r="S111" s="2" t="s">
        <v>969</v>
      </c>
      <c r="T111" s="2" t="s">
        <v>825</v>
      </c>
      <c r="U111" s="2"/>
      <c r="V111" s="2" t="s">
        <v>827</v>
      </c>
      <c r="W111" s="2"/>
      <c r="X111" s="2"/>
      <c r="Y111" s="2"/>
      <c r="Z111" s="2" t="s">
        <v>8</v>
      </c>
      <c r="AA111" s="2"/>
      <c r="AB111" s="2" t="s">
        <v>8</v>
      </c>
      <c r="AC111" s="2" t="s">
        <v>8</v>
      </c>
      <c r="AD111" s="2" t="s">
        <v>8</v>
      </c>
      <c r="AE111" s="2"/>
      <c r="AF111" s="2"/>
      <c r="AG111" s="2" t="s">
        <v>8</v>
      </c>
      <c r="AH111" s="3" t="b">
        <v>0</v>
      </c>
      <c r="AI111" s="2"/>
      <c r="AJ111" s="2"/>
      <c r="AK111" s="2"/>
      <c r="AL111" s="2"/>
      <c r="AM111" s="2"/>
      <c r="AN111" s="2" t="s">
        <v>970</v>
      </c>
      <c r="AO111" s="2"/>
      <c r="AP111" s="2"/>
      <c r="AQ111" s="2" t="s">
        <v>191</v>
      </c>
    </row>
    <row r="112" spans="1:43" ht="56">
      <c r="A112" s="2" t="s">
        <v>19</v>
      </c>
      <c r="B112" s="2" t="s">
        <v>971</v>
      </c>
      <c r="C112" s="2" t="s">
        <v>680</v>
      </c>
      <c r="D112" s="2"/>
      <c r="E112" s="2" t="s">
        <v>193</v>
      </c>
      <c r="F112" s="2" t="s">
        <v>572</v>
      </c>
      <c r="G112" s="2" t="s">
        <v>972</v>
      </c>
      <c r="H112" s="2" t="s">
        <v>911</v>
      </c>
      <c r="I112" s="2" t="s">
        <v>822</v>
      </c>
      <c r="J112" s="2" t="s">
        <v>823</v>
      </c>
      <c r="K112" s="2" t="s">
        <v>911</v>
      </c>
      <c r="L112" s="2" t="s">
        <v>911</v>
      </c>
      <c r="M112" s="2" t="s">
        <v>824</v>
      </c>
      <c r="N112" s="2" t="s">
        <v>824</v>
      </c>
      <c r="O112" s="2" t="s">
        <v>824</v>
      </c>
      <c r="P112" s="2" t="s">
        <v>825</v>
      </c>
      <c r="Q112" s="2" t="s">
        <v>825</v>
      </c>
      <c r="R112" s="2" t="s">
        <v>825</v>
      </c>
      <c r="S112" s="2" t="s">
        <v>826</v>
      </c>
      <c r="T112" s="2" t="s">
        <v>825</v>
      </c>
      <c r="U112" s="2"/>
      <c r="V112" s="2" t="s">
        <v>827</v>
      </c>
      <c r="W112" s="2"/>
      <c r="X112" s="2"/>
      <c r="Y112" s="2"/>
      <c r="Z112" s="2" t="s">
        <v>8</v>
      </c>
      <c r="AA112" s="2"/>
      <c r="AB112" s="2" t="s">
        <v>8</v>
      </c>
      <c r="AC112" s="2" t="s">
        <v>8</v>
      </c>
      <c r="AD112" s="2" t="s">
        <v>8</v>
      </c>
      <c r="AE112" s="2"/>
      <c r="AF112" s="2"/>
      <c r="AG112" s="2" t="s">
        <v>8</v>
      </c>
      <c r="AH112" s="3" t="b">
        <v>0</v>
      </c>
      <c r="AI112" s="2"/>
      <c r="AJ112" s="2"/>
      <c r="AK112" s="2"/>
      <c r="AL112" s="2"/>
      <c r="AM112" s="2"/>
      <c r="AN112" s="2" t="s">
        <v>973</v>
      </c>
      <c r="AO112" s="2"/>
      <c r="AP112" s="2"/>
      <c r="AQ112" s="2" t="s">
        <v>191</v>
      </c>
    </row>
    <row r="113" spans="1:43" ht="126">
      <c r="A113" s="2" t="s">
        <v>19</v>
      </c>
      <c r="B113" s="2" t="s">
        <v>974</v>
      </c>
      <c r="C113" s="2" t="s">
        <v>680</v>
      </c>
      <c r="D113" s="2"/>
      <c r="E113" s="2" t="s">
        <v>233</v>
      </c>
      <c r="F113" s="2" t="s">
        <v>562</v>
      </c>
      <c r="G113" s="2" t="s">
        <v>975</v>
      </c>
      <c r="H113" s="2" t="s">
        <v>900</v>
      </c>
      <c r="I113" s="2" t="s">
        <v>976</v>
      </c>
      <c r="J113" s="2" t="s">
        <v>977</v>
      </c>
      <c r="K113" s="2" t="s">
        <v>900</v>
      </c>
      <c r="L113" s="2" t="s">
        <v>900</v>
      </c>
      <c r="M113" s="2" t="s">
        <v>900</v>
      </c>
      <c r="N113" s="2" t="s">
        <v>900</v>
      </c>
      <c r="O113" s="2" t="s">
        <v>900</v>
      </c>
      <c r="P113" s="2" t="s">
        <v>900</v>
      </c>
      <c r="Q113" s="2" t="s">
        <v>900</v>
      </c>
      <c r="R113" s="2" t="s">
        <v>900</v>
      </c>
      <c r="S113" s="2" t="s">
        <v>900</v>
      </c>
      <c r="T113" s="2" t="s">
        <v>900</v>
      </c>
      <c r="U113" s="2"/>
      <c r="V113" s="2" t="s">
        <v>827</v>
      </c>
      <c r="W113" s="2"/>
      <c r="X113" s="2"/>
      <c r="Y113" s="2"/>
      <c r="Z113" s="2" t="s">
        <v>8</v>
      </c>
      <c r="AA113" s="2"/>
      <c r="AB113" s="2" t="s">
        <v>8</v>
      </c>
      <c r="AC113" s="2" t="s">
        <v>8</v>
      </c>
      <c r="AD113" s="2" t="s">
        <v>8</v>
      </c>
      <c r="AE113" s="2"/>
      <c r="AF113" s="2"/>
      <c r="AG113" s="2" t="s">
        <v>8</v>
      </c>
      <c r="AH113" s="3" t="b">
        <v>0</v>
      </c>
      <c r="AI113" s="2"/>
      <c r="AJ113" s="2"/>
      <c r="AK113" s="2"/>
      <c r="AL113" s="2"/>
      <c r="AM113" s="2"/>
      <c r="AN113" s="2" t="s">
        <v>978</v>
      </c>
      <c r="AO113" s="2"/>
      <c r="AP113" s="2"/>
      <c r="AQ113" s="2" t="s">
        <v>191</v>
      </c>
    </row>
    <row r="114" spans="1:43" ht="56">
      <c r="A114" s="2" t="s">
        <v>19</v>
      </c>
      <c r="B114" s="2" t="s">
        <v>979</v>
      </c>
      <c r="C114" s="2" t="s">
        <v>680</v>
      </c>
      <c r="D114" s="2"/>
      <c r="E114" s="2" t="s">
        <v>193</v>
      </c>
      <c r="F114" s="2" t="s">
        <v>562</v>
      </c>
      <c r="G114" s="2" t="s">
        <v>980</v>
      </c>
      <c r="H114" s="2" t="s">
        <v>821</v>
      </c>
      <c r="I114" s="2" t="s">
        <v>822</v>
      </c>
      <c r="J114" s="2" t="s">
        <v>823</v>
      </c>
      <c r="K114" s="2" t="s">
        <v>821</v>
      </c>
      <c r="L114" s="2" t="s">
        <v>821</v>
      </c>
      <c r="M114" s="2" t="s">
        <v>824</v>
      </c>
      <c r="N114" s="2" t="s">
        <v>824</v>
      </c>
      <c r="O114" s="2" t="s">
        <v>824</v>
      </c>
      <c r="P114" s="2" t="s">
        <v>825</v>
      </c>
      <c r="Q114" s="2" t="s">
        <v>825</v>
      </c>
      <c r="R114" s="2" t="s">
        <v>825</v>
      </c>
      <c r="S114" s="2" t="s">
        <v>826</v>
      </c>
      <c r="T114" s="2" t="s">
        <v>825</v>
      </c>
      <c r="U114" s="2"/>
      <c r="V114" s="2" t="s">
        <v>827</v>
      </c>
      <c r="W114" s="2"/>
      <c r="X114" s="2"/>
      <c r="Y114" s="2"/>
      <c r="Z114" s="2" t="s">
        <v>8</v>
      </c>
      <c r="AA114" s="2"/>
      <c r="AB114" s="2" t="s">
        <v>8</v>
      </c>
      <c r="AC114" s="2" t="s">
        <v>8</v>
      </c>
      <c r="AD114" s="2" t="s">
        <v>8</v>
      </c>
      <c r="AE114" s="2"/>
      <c r="AF114" s="2"/>
      <c r="AG114" s="2" t="s">
        <v>8</v>
      </c>
      <c r="AH114" s="3" t="b">
        <v>0</v>
      </c>
      <c r="AI114" s="2"/>
      <c r="AJ114" s="2"/>
      <c r="AK114" s="2"/>
      <c r="AL114" s="2"/>
      <c r="AM114" s="2"/>
      <c r="AN114" s="2" t="s">
        <v>849</v>
      </c>
      <c r="AO114" s="2"/>
      <c r="AP114" s="2"/>
      <c r="AQ114" s="2" t="s">
        <v>191</v>
      </c>
    </row>
    <row r="115" spans="1:43" ht="56">
      <c r="A115" s="2" t="s">
        <v>19</v>
      </c>
      <c r="B115" s="2" t="s">
        <v>981</v>
      </c>
      <c r="C115" s="2" t="s">
        <v>680</v>
      </c>
      <c r="D115" s="2"/>
      <c r="E115" s="2" t="s">
        <v>193</v>
      </c>
      <c r="F115" s="2" t="s">
        <v>546</v>
      </c>
      <c r="G115" s="2" t="s">
        <v>982</v>
      </c>
      <c r="H115" s="2" t="s">
        <v>821</v>
      </c>
      <c r="I115" s="2" t="s">
        <v>822</v>
      </c>
      <c r="J115" s="2" t="s">
        <v>823</v>
      </c>
      <c r="K115" s="2" t="s">
        <v>821</v>
      </c>
      <c r="L115" s="2" t="s">
        <v>821</v>
      </c>
      <c r="M115" s="2" t="s">
        <v>824</v>
      </c>
      <c r="N115" s="2" t="s">
        <v>824</v>
      </c>
      <c r="O115" s="2" t="s">
        <v>824</v>
      </c>
      <c r="P115" s="2" t="s">
        <v>825</v>
      </c>
      <c r="Q115" s="2" t="s">
        <v>825</v>
      </c>
      <c r="R115" s="2" t="s">
        <v>825</v>
      </c>
      <c r="S115" s="2" t="s">
        <v>826</v>
      </c>
      <c r="T115" s="2" t="s">
        <v>825</v>
      </c>
      <c r="U115" s="2"/>
      <c r="V115" s="2" t="s">
        <v>827</v>
      </c>
      <c r="W115" s="2"/>
      <c r="X115" s="2"/>
      <c r="Y115" s="2"/>
      <c r="Z115" s="2" t="s">
        <v>8</v>
      </c>
      <c r="AA115" s="2"/>
      <c r="AB115" s="2" t="s">
        <v>8</v>
      </c>
      <c r="AC115" s="2" t="s">
        <v>8</v>
      </c>
      <c r="AD115" s="2" t="s">
        <v>8</v>
      </c>
      <c r="AE115" s="2"/>
      <c r="AF115" s="2"/>
      <c r="AG115" s="2" t="s">
        <v>8</v>
      </c>
      <c r="AH115" s="3" t="b">
        <v>0</v>
      </c>
      <c r="AI115" s="2"/>
      <c r="AJ115" s="2"/>
      <c r="AK115" s="2"/>
      <c r="AL115" s="2"/>
      <c r="AM115" s="2"/>
      <c r="AN115" s="2" t="s">
        <v>849</v>
      </c>
      <c r="AO115" s="2"/>
      <c r="AP115" s="2"/>
      <c r="AQ115" s="2" t="s">
        <v>191</v>
      </c>
    </row>
    <row r="116" spans="1:43" ht="56">
      <c r="A116" s="2" t="s">
        <v>19</v>
      </c>
      <c r="B116" s="2" t="s">
        <v>983</v>
      </c>
      <c r="C116" s="2" t="s">
        <v>680</v>
      </c>
      <c r="D116" s="2"/>
      <c r="E116" s="2" t="s">
        <v>185</v>
      </c>
      <c r="F116" s="2" t="s">
        <v>562</v>
      </c>
      <c r="G116" s="2" t="s">
        <v>984</v>
      </c>
      <c r="H116" s="2" t="s">
        <v>856</v>
      </c>
      <c r="I116" s="2" t="s">
        <v>985</v>
      </c>
      <c r="J116" s="2" t="s">
        <v>986</v>
      </c>
      <c r="K116" s="2" t="s">
        <v>856</v>
      </c>
      <c r="L116" s="2" t="s">
        <v>856</v>
      </c>
      <c r="M116" s="2" t="s">
        <v>824</v>
      </c>
      <c r="N116" s="2" t="s">
        <v>824</v>
      </c>
      <c r="O116" s="2" t="s">
        <v>824</v>
      </c>
      <c r="P116" s="2" t="s">
        <v>825</v>
      </c>
      <c r="Q116" s="2" t="s">
        <v>825</v>
      </c>
      <c r="R116" s="2" t="s">
        <v>825</v>
      </c>
      <c r="S116" s="2" t="s">
        <v>826</v>
      </c>
      <c r="T116" s="2" t="s">
        <v>825</v>
      </c>
      <c r="U116" s="2"/>
      <c r="V116" s="2" t="s">
        <v>827</v>
      </c>
      <c r="W116" s="2"/>
      <c r="X116" s="2"/>
      <c r="Y116" s="2"/>
      <c r="Z116" s="2" t="s">
        <v>8</v>
      </c>
      <c r="AA116" s="2"/>
      <c r="AB116" s="2" t="s">
        <v>8</v>
      </c>
      <c r="AC116" s="2" t="s">
        <v>8</v>
      </c>
      <c r="AD116" s="2" t="s">
        <v>8</v>
      </c>
      <c r="AE116" s="2"/>
      <c r="AF116" s="2"/>
      <c r="AG116" s="2" t="s">
        <v>8</v>
      </c>
      <c r="AH116" s="3" t="b">
        <v>0</v>
      </c>
      <c r="AI116" s="2"/>
      <c r="AJ116" s="2"/>
      <c r="AK116" s="2"/>
      <c r="AL116" s="2"/>
      <c r="AM116" s="2"/>
      <c r="AN116" s="2" t="s">
        <v>987</v>
      </c>
      <c r="AO116" s="2"/>
      <c r="AP116" s="2"/>
      <c r="AQ116" s="2" t="s">
        <v>191</v>
      </c>
    </row>
    <row r="117" spans="1:43" ht="56">
      <c r="A117" s="2" t="s">
        <v>19</v>
      </c>
      <c r="B117" s="2" t="s">
        <v>988</v>
      </c>
      <c r="C117" s="2" t="s">
        <v>680</v>
      </c>
      <c r="D117" s="2"/>
      <c r="E117" s="2" t="s">
        <v>200</v>
      </c>
      <c r="F117" s="2" t="s">
        <v>562</v>
      </c>
      <c r="G117" s="2" t="s">
        <v>989</v>
      </c>
      <c r="H117" s="2" t="s">
        <v>852</v>
      </c>
      <c r="I117" s="2" t="s">
        <v>822</v>
      </c>
      <c r="J117" s="2" t="s">
        <v>823</v>
      </c>
      <c r="K117" s="2" t="s">
        <v>852</v>
      </c>
      <c r="L117" s="2" t="s">
        <v>852</v>
      </c>
      <c r="M117" s="2" t="s">
        <v>824</v>
      </c>
      <c r="N117" s="2" t="s">
        <v>824</v>
      </c>
      <c r="O117" s="2" t="s">
        <v>824</v>
      </c>
      <c r="P117" s="2" t="s">
        <v>825</v>
      </c>
      <c r="Q117" s="2" t="s">
        <v>825</v>
      </c>
      <c r="R117" s="2" t="s">
        <v>825</v>
      </c>
      <c r="S117" s="2" t="s">
        <v>826</v>
      </c>
      <c r="T117" s="2" t="s">
        <v>825</v>
      </c>
      <c r="U117" s="2"/>
      <c r="V117" s="2" t="s">
        <v>827</v>
      </c>
      <c r="W117" s="2"/>
      <c r="X117" s="2"/>
      <c r="Y117" s="2"/>
      <c r="Z117" s="2" t="s">
        <v>8</v>
      </c>
      <c r="AA117" s="2"/>
      <c r="AB117" s="2" t="s">
        <v>8</v>
      </c>
      <c r="AC117" s="2" t="s">
        <v>8</v>
      </c>
      <c r="AD117" s="2" t="s">
        <v>8</v>
      </c>
      <c r="AE117" s="2"/>
      <c r="AF117" s="2"/>
      <c r="AG117" s="2" t="s">
        <v>8</v>
      </c>
      <c r="AH117" s="3" t="b">
        <v>0</v>
      </c>
      <c r="AI117" s="2"/>
      <c r="AJ117" s="2"/>
      <c r="AK117" s="2"/>
      <c r="AL117" s="2"/>
      <c r="AM117" s="2"/>
      <c r="AN117" s="2" t="s">
        <v>990</v>
      </c>
      <c r="AO117" s="2"/>
      <c r="AP117" s="2"/>
      <c r="AQ117" s="2" t="s">
        <v>191</v>
      </c>
    </row>
    <row r="118" spans="1:43" ht="56">
      <c r="A118" s="2" t="s">
        <v>19</v>
      </c>
      <c r="B118" s="2" t="s">
        <v>991</v>
      </c>
      <c r="C118" s="2" t="s">
        <v>680</v>
      </c>
      <c r="D118" s="2"/>
      <c r="E118" s="2" t="s">
        <v>185</v>
      </c>
      <c r="F118" s="2" t="s">
        <v>572</v>
      </c>
      <c r="G118" s="2" t="s">
        <v>992</v>
      </c>
      <c r="H118" s="2" t="s">
        <v>993</v>
      </c>
      <c r="I118" s="2" t="s">
        <v>994</v>
      </c>
      <c r="J118" s="2" t="s">
        <v>995</v>
      </c>
      <c r="K118" s="2" t="s">
        <v>993</v>
      </c>
      <c r="L118" s="2" t="s">
        <v>993</v>
      </c>
      <c r="M118" s="2" t="s">
        <v>824</v>
      </c>
      <c r="N118" s="2" t="s">
        <v>824</v>
      </c>
      <c r="O118" s="2" t="s">
        <v>824</v>
      </c>
      <c r="P118" s="2" t="s">
        <v>825</v>
      </c>
      <c r="Q118" s="2" t="s">
        <v>825</v>
      </c>
      <c r="R118" s="2" t="s">
        <v>825</v>
      </c>
      <c r="S118" s="2" t="s">
        <v>826</v>
      </c>
      <c r="T118" s="2" t="s">
        <v>825</v>
      </c>
      <c r="U118" s="2"/>
      <c r="V118" s="2" t="s">
        <v>827</v>
      </c>
      <c r="W118" s="2"/>
      <c r="X118" s="2"/>
      <c r="Y118" s="2"/>
      <c r="Z118" s="2" t="s">
        <v>8</v>
      </c>
      <c r="AA118" s="2"/>
      <c r="AB118" s="2" t="s">
        <v>8</v>
      </c>
      <c r="AC118" s="2" t="s">
        <v>8</v>
      </c>
      <c r="AD118" s="2" t="s">
        <v>8</v>
      </c>
      <c r="AE118" s="2"/>
      <c r="AF118" s="2"/>
      <c r="AG118" s="2" t="s">
        <v>8</v>
      </c>
      <c r="AH118" s="3" t="b">
        <v>0</v>
      </c>
      <c r="AI118" s="2"/>
      <c r="AJ118" s="2"/>
      <c r="AK118" s="2"/>
      <c r="AL118" s="2"/>
      <c r="AM118" s="2"/>
      <c r="AN118" s="2" t="s">
        <v>996</v>
      </c>
      <c r="AO118" s="2"/>
      <c r="AP118" s="2"/>
      <c r="AQ118" s="2" t="s">
        <v>191</v>
      </c>
    </row>
    <row r="119" spans="1:43" ht="56">
      <c r="A119" s="2" t="s">
        <v>19</v>
      </c>
      <c r="B119" s="2" t="s">
        <v>997</v>
      </c>
      <c r="C119" s="2" t="s">
        <v>680</v>
      </c>
      <c r="D119" s="2"/>
      <c r="E119" s="2" t="s">
        <v>185</v>
      </c>
      <c r="F119" s="2" t="s">
        <v>546</v>
      </c>
      <c r="G119" s="2" t="s">
        <v>998</v>
      </c>
      <c r="H119" s="2" t="s">
        <v>821</v>
      </c>
      <c r="I119" s="2" t="s">
        <v>999</v>
      </c>
      <c r="J119" s="2" t="s">
        <v>1000</v>
      </c>
      <c r="K119" s="2" t="s">
        <v>821</v>
      </c>
      <c r="L119" s="2" t="s">
        <v>821</v>
      </c>
      <c r="M119" s="2" t="s">
        <v>824</v>
      </c>
      <c r="N119" s="2" t="s">
        <v>824</v>
      </c>
      <c r="O119" s="2" t="s">
        <v>824</v>
      </c>
      <c r="P119" s="2" t="s">
        <v>825</v>
      </c>
      <c r="Q119" s="2" t="s">
        <v>825</v>
      </c>
      <c r="R119" s="2" t="s">
        <v>825</v>
      </c>
      <c r="S119" s="2" t="s">
        <v>826</v>
      </c>
      <c r="T119" s="2" t="s">
        <v>825</v>
      </c>
      <c r="U119" s="2"/>
      <c r="V119" s="2" t="s">
        <v>827</v>
      </c>
      <c r="W119" s="2"/>
      <c r="X119" s="2"/>
      <c r="Y119" s="2"/>
      <c r="Z119" s="2" t="s">
        <v>8</v>
      </c>
      <c r="AA119" s="2"/>
      <c r="AB119" s="2" t="s">
        <v>8</v>
      </c>
      <c r="AC119" s="2" t="s">
        <v>8</v>
      </c>
      <c r="AD119" s="2" t="s">
        <v>8</v>
      </c>
      <c r="AE119" s="2"/>
      <c r="AF119" s="2"/>
      <c r="AG119" s="2" t="s">
        <v>8</v>
      </c>
      <c r="AH119" s="3" t="b">
        <v>0</v>
      </c>
      <c r="AI119" s="2"/>
      <c r="AJ119" s="2"/>
      <c r="AK119" s="2"/>
      <c r="AL119" s="2"/>
      <c r="AM119" s="2"/>
      <c r="AN119" s="2" t="s">
        <v>833</v>
      </c>
      <c r="AO119" s="2"/>
      <c r="AP119" s="2"/>
      <c r="AQ119" s="2" t="s">
        <v>191</v>
      </c>
    </row>
    <row r="120" spans="1:43" ht="322">
      <c r="A120" s="2" t="s">
        <v>19</v>
      </c>
      <c r="B120" s="2" t="s">
        <v>206</v>
      </c>
      <c r="C120" s="2" t="s">
        <v>680</v>
      </c>
      <c r="D120" s="2"/>
      <c r="E120" s="2" t="s">
        <v>185</v>
      </c>
      <c r="F120" s="2" t="s">
        <v>546</v>
      </c>
      <c r="G120" s="2" t="s">
        <v>208</v>
      </c>
      <c r="H120" s="2" t="s">
        <v>1001</v>
      </c>
      <c r="I120" s="2" t="s">
        <v>1002</v>
      </c>
      <c r="J120" s="2" t="s">
        <v>1003</v>
      </c>
      <c r="K120" s="2" t="s">
        <v>550</v>
      </c>
      <c r="L120" s="2" t="s">
        <v>550</v>
      </c>
      <c r="M120" s="2" t="s">
        <v>550</v>
      </c>
      <c r="N120" s="2" t="s">
        <v>550</v>
      </c>
      <c r="O120" s="2" t="s">
        <v>550</v>
      </c>
      <c r="P120" s="2" t="s">
        <v>550</v>
      </c>
      <c r="Q120" s="2" t="s">
        <v>550</v>
      </c>
      <c r="R120" s="2" t="s">
        <v>550</v>
      </c>
      <c r="S120" s="2" t="s">
        <v>550</v>
      </c>
      <c r="T120" s="2" t="s">
        <v>550</v>
      </c>
      <c r="U120" s="2"/>
      <c r="V120" s="2" t="s">
        <v>1004</v>
      </c>
      <c r="W120" s="2"/>
      <c r="X120" s="2"/>
      <c r="Y120" s="2"/>
      <c r="Z120" s="2" t="s">
        <v>550</v>
      </c>
      <c r="AA120" s="2"/>
      <c r="AB120" s="2" t="s">
        <v>550</v>
      </c>
      <c r="AC120" s="2" t="s">
        <v>550</v>
      </c>
      <c r="AD120" s="2" t="s">
        <v>550</v>
      </c>
      <c r="AE120" s="2"/>
      <c r="AF120" s="2"/>
      <c r="AG120" s="2" t="s">
        <v>10</v>
      </c>
      <c r="AH120" s="3" t="b">
        <v>1</v>
      </c>
      <c r="AI120" s="2"/>
      <c r="AJ120" s="2"/>
      <c r="AK120" s="2"/>
      <c r="AL120" s="2"/>
      <c r="AM120" s="2"/>
      <c r="AN120" s="2" t="s">
        <v>1005</v>
      </c>
      <c r="AO120" s="2"/>
      <c r="AP120" s="2"/>
      <c r="AQ120" s="2" t="s">
        <v>191</v>
      </c>
    </row>
    <row r="121" spans="1:43" ht="56">
      <c r="A121" s="2" t="s">
        <v>19</v>
      </c>
      <c r="B121" s="2" t="s">
        <v>1006</v>
      </c>
      <c r="C121" s="2" t="s">
        <v>680</v>
      </c>
      <c r="D121" s="2"/>
      <c r="E121" s="2" t="s">
        <v>185</v>
      </c>
      <c r="F121" s="2" t="s">
        <v>562</v>
      </c>
      <c r="G121" s="2" t="s">
        <v>1007</v>
      </c>
      <c r="H121" s="2" t="s">
        <v>867</v>
      </c>
      <c r="I121" s="2" t="s">
        <v>1008</v>
      </c>
      <c r="J121" s="2" t="s">
        <v>1009</v>
      </c>
      <c r="K121" s="2" t="s">
        <v>867</v>
      </c>
      <c r="L121" s="2" t="s">
        <v>867</v>
      </c>
      <c r="M121" s="2" t="s">
        <v>824</v>
      </c>
      <c r="N121" s="2" t="s">
        <v>824</v>
      </c>
      <c r="O121" s="2" t="s">
        <v>824</v>
      </c>
      <c r="P121" s="2" t="s">
        <v>825</v>
      </c>
      <c r="Q121" s="2" t="s">
        <v>825</v>
      </c>
      <c r="R121" s="2" t="s">
        <v>825</v>
      </c>
      <c r="S121" s="2" t="s">
        <v>826</v>
      </c>
      <c r="T121" s="2" t="s">
        <v>825</v>
      </c>
      <c r="U121" s="2"/>
      <c r="V121" s="2" t="s">
        <v>827</v>
      </c>
      <c r="W121" s="2"/>
      <c r="X121" s="2"/>
      <c r="Y121" s="2"/>
      <c r="Z121" s="2" t="s">
        <v>8</v>
      </c>
      <c r="AA121" s="2"/>
      <c r="AB121" s="2" t="s">
        <v>8</v>
      </c>
      <c r="AC121" s="2" t="s">
        <v>8</v>
      </c>
      <c r="AD121" s="2" t="s">
        <v>8</v>
      </c>
      <c r="AE121" s="2"/>
      <c r="AF121" s="2"/>
      <c r="AG121" s="2" t="s">
        <v>8</v>
      </c>
      <c r="AH121" s="3" t="b">
        <v>0</v>
      </c>
      <c r="AI121" s="2"/>
      <c r="AJ121" s="2"/>
      <c r="AK121" s="2"/>
      <c r="AL121" s="2"/>
      <c r="AM121" s="2"/>
      <c r="AN121" s="2" t="s">
        <v>882</v>
      </c>
      <c r="AO121" s="2"/>
      <c r="AP121" s="2"/>
      <c r="AQ121" s="2" t="s">
        <v>191</v>
      </c>
    </row>
    <row r="122" spans="1:43" ht="56">
      <c r="A122" s="2" t="s">
        <v>19</v>
      </c>
      <c r="B122" s="2" t="s">
        <v>1010</v>
      </c>
      <c r="C122" s="2" t="s">
        <v>680</v>
      </c>
      <c r="D122" s="2"/>
      <c r="E122" s="2" t="s">
        <v>193</v>
      </c>
      <c r="F122" s="2" t="s">
        <v>562</v>
      </c>
      <c r="G122" s="2" t="s">
        <v>1011</v>
      </c>
      <c r="H122" s="2" t="s">
        <v>961</v>
      </c>
      <c r="I122" s="2" t="s">
        <v>822</v>
      </c>
      <c r="J122" s="2" t="s">
        <v>823</v>
      </c>
      <c r="K122" s="2" t="s">
        <v>961</v>
      </c>
      <c r="L122" s="2" t="s">
        <v>961</v>
      </c>
      <c r="M122" s="2" t="s">
        <v>824</v>
      </c>
      <c r="N122" s="2" t="s">
        <v>824</v>
      </c>
      <c r="O122" s="2" t="s">
        <v>824</v>
      </c>
      <c r="P122" s="2" t="s">
        <v>825</v>
      </c>
      <c r="Q122" s="2" t="s">
        <v>825</v>
      </c>
      <c r="R122" s="2" t="s">
        <v>825</v>
      </c>
      <c r="S122" s="2" t="s">
        <v>826</v>
      </c>
      <c r="T122" s="2" t="s">
        <v>825</v>
      </c>
      <c r="U122" s="2"/>
      <c r="V122" s="2" t="s">
        <v>827</v>
      </c>
      <c r="W122" s="2"/>
      <c r="X122" s="2"/>
      <c r="Y122" s="2"/>
      <c r="Z122" s="2" t="s">
        <v>8</v>
      </c>
      <c r="AA122" s="2"/>
      <c r="AB122" s="2" t="s">
        <v>8</v>
      </c>
      <c r="AC122" s="2" t="s">
        <v>8</v>
      </c>
      <c r="AD122" s="2" t="s">
        <v>8</v>
      </c>
      <c r="AE122" s="2"/>
      <c r="AF122" s="2"/>
      <c r="AG122" s="2" t="s">
        <v>8</v>
      </c>
      <c r="AH122" s="3" t="b">
        <v>0</v>
      </c>
      <c r="AI122" s="2"/>
      <c r="AJ122" s="2"/>
      <c r="AK122" s="2"/>
      <c r="AL122" s="2"/>
      <c r="AM122" s="2"/>
      <c r="AN122" s="2" t="s">
        <v>1012</v>
      </c>
      <c r="AO122" s="2"/>
      <c r="AP122" s="2"/>
      <c r="AQ122" s="2" t="s">
        <v>191</v>
      </c>
    </row>
    <row r="123" spans="1:43" ht="56">
      <c r="A123" s="2" t="s">
        <v>19</v>
      </c>
      <c r="B123" s="2" t="s">
        <v>1013</v>
      </c>
      <c r="C123" s="2" t="s">
        <v>680</v>
      </c>
      <c r="D123" s="2"/>
      <c r="E123" s="2" t="s">
        <v>193</v>
      </c>
      <c r="F123" s="2" t="s">
        <v>572</v>
      </c>
      <c r="G123" s="2" t="s">
        <v>1014</v>
      </c>
      <c r="H123" s="2" t="s">
        <v>821</v>
      </c>
      <c r="I123" s="2" t="s">
        <v>822</v>
      </c>
      <c r="J123" s="2" t="s">
        <v>823</v>
      </c>
      <c r="K123" s="2" t="s">
        <v>821</v>
      </c>
      <c r="L123" s="2" t="s">
        <v>821</v>
      </c>
      <c r="M123" s="2" t="s">
        <v>824</v>
      </c>
      <c r="N123" s="2" t="s">
        <v>824</v>
      </c>
      <c r="O123" s="2" t="s">
        <v>824</v>
      </c>
      <c r="P123" s="2" t="s">
        <v>825</v>
      </c>
      <c r="Q123" s="2" t="s">
        <v>825</v>
      </c>
      <c r="R123" s="2" t="s">
        <v>825</v>
      </c>
      <c r="S123" s="2" t="s">
        <v>826</v>
      </c>
      <c r="T123" s="2" t="s">
        <v>825</v>
      </c>
      <c r="U123" s="2"/>
      <c r="V123" s="2" t="s">
        <v>827</v>
      </c>
      <c r="W123" s="2"/>
      <c r="X123" s="2"/>
      <c r="Y123" s="2"/>
      <c r="Z123" s="2" t="s">
        <v>8</v>
      </c>
      <c r="AA123" s="2"/>
      <c r="AB123" s="2" t="s">
        <v>8</v>
      </c>
      <c r="AC123" s="2" t="s">
        <v>8</v>
      </c>
      <c r="AD123" s="2" t="s">
        <v>8</v>
      </c>
      <c r="AE123" s="2"/>
      <c r="AF123" s="2"/>
      <c r="AG123" s="2" t="s">
        <v>8</v>
      </c>
      <c r="AH123" s="3" t="b">
        <v>0</v>
      </c>
      <c r="AI123" s="2"/>
      <c r="AJ123" s="2"/>
      <c r="AK123" s="2"/>
      <c r="AL123" s="2"/>
      <c r="AM123" s="2"/>
      <c r="AN123" s="2" t="s">
        <v>849</v>
      </c>
      <c r="AO123" s="2"/>
      <c r="AP123" s="2"/>
      <c r="AQ123" s="2" t="s">
        <v>191</v>
      </c>
    </row>
    <row r="124" spans="1:43" ht="126">
      <c r="A124" s="2" t="s">
        <v>19</v>
      </c>
      <c r="B124" s="2" t="s">
        <v>1015</v>
      </c>
      <c r="C124" s="2" t="s">
        <v>680</v>
      </c>
      <c r="D124" s="2"/>
      <c r="E124" s="2" t="s">
        <v>233</v>
      </c>
      <c r="F124" s="2" t="s">
        <v>546</v>
      </c>
      <c r="G124" s="2" t="s">
        <v>1016</v>
      </c>
      <c r="H124" s="2" t="s">
        <v>900</v>
      </c>
      <c r="I124" s="2" t="s">
        <v>1017</v>
      </c>
      <c r="J124" s="2" t="s">
        <v>1018</v>
      </c>
      <c r="K124" s="2" t="s">
        <v>900</v>
      </c>
      <c r="L124" s="2" t="s">
        <v>900</v>
      </c>
      <c r="M124" s="2" t="s">
        <v>900</v>
      </c>
      <c r="N124" s="2" t="s">
        <v>900</v>
      </c>
      <c r="O124" s="2" t="s">
        <v>900</v>
      </c>
      <c r="P124" s="2" t="s">
        <v>900</v>
      </c>
      <c r="Q124" s="2" t="s">
        <v>900</v>
      </c>
      <c r="R124" s="2" t="s">
        <v>900</v>
      </c>
      <c r="S124" s="2" t="s">
        <v>900</v>
      </c>
      <c r="T124" s="2" t="s">
        <v>900</v>
      </c>
      <c r="U124" s="2"/>
      <c r="V124" s="2" t="s">
        <v>827</v>
      </c>
      <c r="W124" s="2"/>
      <c r="X124" s="2"/>
      <c r="Y124" s="2"/>
      <c r="Z124" s="2" t="s">
        <v>8</v>
      </c>
      <c r="AA124" s="2"/>
      <c r="AB124" s="2" t="s">
        <v>8</v>
      </c>
      <c r="AC124" s="2" t="s">
        <v>8</v>
      </c>
      <c r="AD124" s="2" t="s">
        <v>8</v>
      </c>
      <c r="AE124" s="2"/>
      <c r="AF124" s="2"/>
      <c r="AG124" s="2" t="s">
        <v>8</v>
      </c>
      <c r="AH124" s="3" t="b">
        <v>0</v>
      </c>
      <c r="AI124" s="2"/>
      <c r="AJ124" s="2"/>
      <c r="AK124" s="2"/>
      <c r="AL124" s="2"/>
      <c r="AM124" s="2"/>
      <c r="AN124" s="2" t="s">
        <v>1019</v>
      </c>
      <c r="AO124" s="2"/>
      <c r="AP124" s="2"/>
      <c r="AQ124" s="2" t="s">
        <v>191</v>
      </c>
    </row>
    <row r="125" spans="1:43" ht="56">
      <c r="A125" s="2" t="s">
        <v>19</v>
      </c>
      <c r="B125" s="2" t="s">
        <v>1020</v>
      </c>
      <c r="C125" s="2" t="s">
        <v>680</v>
      </c>
      <c r="D125" s="2"/>
      <c r="E125" s="2" t="s">
        <v>193</v>
      </c>
      <c r="F125" s="2" t="s">
        <v>562</v>
      </c>
      <c r="G125" s="2" t="s">
        <v>1021</v>
      </c>
      <c r="H125" s="2" t="s">
        <v>852</v>
      </c>
      <c r="I125" s="2" t="s">
        <v>822</v>
      </c>
      <c r="J125" s="2" t="s">
        <v>823</v>
      </c>
      <c r="K125" s="2" t="s">
        <v>852</v>
      </c>
      <c r="L125" s="2" t="s">
        <v>852</v>
      </c>
      <c r="M125" s="2" t="s">
        <v>824</v>
      </c>
      <c r="N125" s="2" t="s">
        <v>824</v>
      </c>
      <c r="O125" s="2" t="s">
        <v>824</v>
      </c>
      <c r="P125" s="2" t="s">
        <v>825</v>
      </c>
      <c r="Q125" s="2" t="s">
        <v>825</v>
      </c>
      <c r="R125" s="2" t="s">
        <v>825</v>
      </c>
      <c r="S125" s="2" t="s">
        <v>826</v>
      </c>
      <c r="T125" s="2" t="s">
        <v>825</v>
      </c>
      <c r="U125" s="2"/>
      <c r="V125" s="2" t="s">
        <v>827</v>
      </c>
      <c r="W125" s="2"/>
      <c r="X125" s="2"/>
      <c r="Y125" s="2"/>
      <c r="Z125" s="2" t="s">
        <v>8</v>
      </c>
      <c r="AA125" s="2"/>
      <c r="AB125" s="2" t="s">
        <v>8</v>
      </c>
      <c r="AC125" s="2" t="s">
        <v>8</v>
      </c>
      <c r="AD125" s="2" t="s">
        <v>8</v>
      </c>
      <c r="AE125" s="2"/>
      <c r="AF125" s="2"/>
      <c r="AG125" s="2" t="s">
        <v>8</v>
      </c>
      <c r="AH125" s="3" t="b">
        <v>0</v>
      </c>
      <c r="AI125" s="2"/>
      <c r="AJ125" s="2"/>
      <c r="AK125" s="2"/>
      <c r="AL125" s="2"/>
      <c r="AM125" s="2"/>
      <c r="AN125" s="2" t="s">
        <v>853</v>
      </c>
      <c r="AO125" s="2"/>
      <c r="AP125" s="2"/>
      <c r="AQ125" s="2" t="s">
        <v>191</v>
      </c>
    </row>
    <row r="126" spans="1:43" ht="56">
      <c r="A126" s="2" t="s">
        <v>19</v>
      </c>
      <c r="B126" s="2" t="s">
        <v>1022</v>
      </c>
      <c r="C126" s="2" t="s">
        <v>680</v>
      </c>
      <c r="D126" s="2"/>
      <c r="E126" s="2" t="s">
        <v>193</v>
      </c>
      <c r="F126" s="2" t="s">
        <v>546</v>
      </c>
      <c r="G126" s="2" t="s">
        <v>1023</v>
      </c>
      <c r="H126" s="2" t="s">
        <v>821</v>
      </c>
      <c r="I126" s="2" t="s">
        <v>822</v>
      </c>
      <c r="J126" s="2" t="s">
        <v>823</v>
      </c>
      <c r="K126" s="2" t="s">
        <v>821</v>
      </c>
      <c r="L126" s="2" t="s">
        <v>821</v>
      </c>
      <c r="M126" s="2" t="s">
        <v>824</v>
      </c>
      <c r="N126" s="2" t="s">
        <v>824</v>
      </c>
      <c r="O126" s="2" t="s">
        <v>824</v>
      </c>
      <c r="P126" s="2" t="s">
        <v>825</v>
      </c>
      <c r="Q126" s="2" t="s">
        <v>825</v>
      </c>
      <c r="R126" s="2" t="s">
        <v>825</v>
      </c>
      <c r="S126" s="2" t="s">
        <v>826</v>
      </c>
      <c r="T126" s="2" t="s">
        <v>825</v>
      </c>
      <c r="U126" s="2"/>
      <c r="V126" s="2" t="s">
        <v>827</v>
      </c>
      <c r="W126" s="2"/>
      <c r="X126" s="2"/>
      <c r="Y126" s="2"/>
      <c r="Z126" s="2" t="s">
        <v>8</v>
      </c>
      <c r="AA126" s="2"/>
      <c r="AB126" s="2" t="s">
        <v>8</v>
      </c>
      <c r="AC126" s="2" t="s">
        <v>8</v>
      </c>
      <c r="AD126" s="2" t="s">
        <v>8</v>
      </c>
      <c r="AE126" s="2"/>
      <c r="AF126" s="2"/>
      <c r="AG126" s="2" t="s">
        <v>8</v>
      </c>
      <c r="AH126" s="3" t="b">
        <v>0</v>
      </c>
      <c r="AI126" s="2"/>
      <c r="AJ126" s="2"/>
      <c r="AK126" s="2"/>
      <c r="AL126" s="2"/>
      <c r="AM126" s="2"/>
      <c r="AN126" s="2" t="s">
        <v>849</v>
      </c>
      <c r="AO126" s="2"/>
      <c r="AP126" s="2"/>
      <c r="AQ126" s="2" t="s">
        <v>191</v>
      </c>
    </row>
    <row r="127" spans="1:43" ht="56">
      <c r="A127" s="2" t="s">
        <v>19</v>
      </c>
      <c r="B127" s="2" t="s">
        <v>1024</v>
      </c>
      <c r="C127" s="2" t="s">
        <v>680</v>
      </c>
      <c r="D127" s="2"/>
      <c r="E127" s="2" t="s">
        <v>193</v>
      </c>
      <c r="F127" s="2" t="s">
        <v>572</v>
      </c>
      <c r="G127" s="2" t="s">
        <v>1025</v>
      </c>
      <c r="H127" s="2" t="s">
        <v>1026</v>
      </c>
      <c r="I127" s="2" t="s">
        <v>822</v>
      </c>
      <c r="J127" s="2" t="s">
        <v>823</v>
      </c>
      <c r="K127" s="2" t="s">
        <v>1026</v>
      </c>
      <c r="L127" s="2" t="s">
        <v>1026</v>
      </c>
      <c r="M127" s="2" t="s">
        <v>824</v>
      </c>
      <c r="N127" s="2" t="s">
        <v>824</v>
      </c>
      <c r="O127" s="2" t="s">
        <v>824</v>
      </c>
      <c r="P127" s="2" t="s">
        <v>825</v>
      </c>
      <c r="Q127" s="2" t="s">
        <v>825</v>
      </c>
      <c r="R127" s="2" t="s">
        <v>825</v>
      </c>
      <c r="S127" s="2" t="s">
        <v>826</v>
      </c>
      <c r="T127" s="2" t="s">
        <v>825</v>
      </c>
      <c r="U127" s="2"/>
      <c r="V127" s="2" t="s">
        <v>827</v>
      </c>
      <c r="W127" s="2"/>
      <c r="X127" s="2"/>
      <c r="Y127" s="2"/>
      <c r="Z127" s="2" t="s">
        <v>8</v>
      </c>
      <c r="AA127" s="2"/>
      <c r="AB127" s="2" t="s">
        <v>8</v>
      </c>
      <c r="AC127" s="2" t="s">
        <v>8</v>
      </c>
      <c r="AD127" s="2" t="s">
        <v>8</v>
      </c>
      <c r="AE127" s="2"/>
      <c r="AF127" s="2"/>
      <c r="AG127" s="2" t="s">
        <v>8</v>
      </c>
      <c r="AH127" s="3" t="b">
        <v>0</v>
      </c>
      <c r="AI127" s="2"/>
      <c r="AJ127" s="2"/>
      <c r="AK127" s="2"/>
      <c r="AL127" s="2"/>
      <c r="AM127" s="2"/>
      <c r="AN127" s="2" t="s">
        <v>1027</v>
      </c>
      <c r="AO127" s="2"/>
      <c r="AP127" s="2"/>
      <c r="AQ127" s="2" t="s">
        <v>191</v>
      </c>
    </row>
    <row r="128" spans="1:43" ht="126">
      <c r="A128" s="2" t="s">
        <v>19</v>
      </c>
      <c r="B128" s="2" t="s">
        <v>1028</v>
      </c>
      <c r="C128" s="2" t="s">
        <v>680</v>
      </c>
      <c r="D128" s="2"/>
      <c r="E128" s="2" t="s">
        <v>233</v>
      </c>
      <c r="F128" s="2" t="s">
        <v>572</v>
      </c>
      <c r="G128" s="2" t="s">
        <v>1029</v>
      </c>
      <c r="H128" s="2" t="s">
        <v>900</v>
      </c>
      <c r="I128" s="2" t="s">
        <v>1030</v>
      </c>
      <c r="J128" s="2" t="s">
        <v>1031</v>
      </c>
      <c r="K128" s="2" t="s">
        <v>900</v>
      </c>
      <c r="L128" s="2" t="s">
        <v>900</v>
      </c>
      <c r="M128" s="2" t="s">
        <v>900</v>
      </c>
      <c r="N128" s="2" t="s">
        <v>900</v>
      </c>
      <c r="O128" s="2" t="s">
        <v>900</v>
      </c>
      <c r="P128" s="2" t="s">
        <v>900</v>
      </c>
      <c r="Q128" s="2" t="s">
        <v>900</v>
      </c>
      <c r="R128" s="2" t="s">
        <v>900</v>
      </c>
      <c r="S128" s="2" t="s">
        <v>900</v>
      </c>
      <c r="T128" s="2" t="s">
        <v>900</v>
      </c>
      <c r="U128" s="2"/>
      <c r="V128" s="2" t="s">
        <v>827</v>
      </c>
      <c r="W128" s="2"/>
      <c r="X128" s="2"/>
      <c r="Y128" s="2"/>
      <c r="Z128" s="2" t="s">
        <v>8</v>
      </c>
      <c r="AA128" s="2"/>
      <c r="AB128" s="2" t="s">
        <v>8</v>
      </c>
      <c r="AC128" s="2" t="s">
        <v>8</v>
      </c>
      <c r="AD128" s="2" t="s">
        <v>8</v>
      </c>
      <c r="AE128" s="2"/>
      <c r="AF128" s="2"/>
      <c r="AG128" s="2" t="s">
        <v>8</v>
      </c>
      <c r="AH128" s="3" t="b">
        <v>0</v>
      </c>
      <c r="AI128" s="2"/>
      <c r="AJ128" s="2"/>
      <c r="AK128" s="2"/>
      <c r="AL128" s="2"/>
      <c r="AM128" s="2"/>
      <c r="AN128" s="2" t="s">
        <v>1032</v>
      </c>
      <c r="AO128" s="2"/>
      <c r="AP128" s="2"/>
      <c r="AQ128" s="2" t="s">
        <v>191</v>
      </c>
    </row>
    <row r="129" spans="1:43" ht="56">
      <c r="A129" s="2" t="s">
        <v>19</v>
      </c>
      <c r="B129" s="2" t="s">
        <v>1033</v>
      </c>
      <c r="C129" s="2" t="s">
        <v>680</v>
      </c>
      <c r="D129" s="2"/>
      <c r="E129" s="2" t="s">
        <v>193</v>
      </c>
      <c r="F129" s="2" t="s">
        <v>562</v>
      </c>
      <c r="G129" s="2" t="s">
        <v>1034</v>
      </c>
      <c r="H129" s="2" t="s">
        <v>1001</v>
      </c>
      <c r="I129" s="2" t="s">
        <v>822</v>
      </c>
      <c r="J129" s="2" t="s">
        <v>823</v>
      </c>
      <c r="K129" s="2" t="s">
        <v>1001</v>
      </c>
      <c r="L129" s="2" t="s">
        <v>1001</v>
      </c>
      <c r="M129" s="2" t="s">
        <v>824</v>
      </c>
      <c r="N129" s="2" t="s">
        <v>824</v>
      </c>
      <c r="O129" s="2" t="s">
        <v>824</v>
      </c>
      <c r="P129" s="2" t="s">
        <v>825</v>
      </c>
      <c r="Q129" s="2" t="s">
        <v>825</v>
      </c>
      <c r="R129" s="2" t="s">
        <v>825</v>
      </c>
      <c r="S129" s="2" t="s">
        <v>826</v>
      </c>
      <c r="T129" s="2" t="s">
        <v>825</v>
      </c>
      <c r="U129" s="2"/>
      <c r="V129" s="2" t="s">
        <v>827</v>
      </c>
      <c r="W129" s="2"/>
      <c r="X129" s="2"/>
      <c r="Y129" s="2"/>
      <c r="Z129" s="2" t="s">
        <v>8</v>
      </c>
      <c r="AA129" s="2"/>
      <c r="AB129" s="2" t="s">
        <v>8</v>
      </c>
      <c r="AC129" s="2" t="s">
        <v>8</v>
      </c>
      <c r="AD129" s="2" t="s">
        <v>8</v>
      </c>
      <c r="AE129" s="2"/>
      <c r="AF129" s="2"/>
      <c r="AG129" s="2" t="s">
        <v>8</v>
      </c>
      <c r="AH129" s="3" t="b">
        <v>0</v>
      </c>
      <c r="AI129" s="2"/>
      <c r="AJ129" s="2"/>
      <c r="AK129" s="2"/>
      <c r="AL129" s="2"/>
      <c r="AM129" s="2"/>
      <c r="AN129" s="2" t="s">
        <v>1035</v>
      </c>
      <c r="AO129" s="2"/>
      <c r="AP129" s="2"/>
      <c r="AQ129" s="2" t="s">
        <v>191</v>
      </c>
    </row>
    <row r="130" spans="1:43" ht="196">
      <c r="A130" s="2" t="s">
        <v>19</v>
      </c>
      <c r="B130" s="2" t="s">
        <v>391</v>
      </c>
      <c r="C130" s="2" t="s">
        <v>680</v>
      </c>
      <c r="D130" s="2"/>
      <c r="E130" s="2" t="s">
        <v>185</v>
      </c>
      <c r="F130" s="2" t="s">
        <v>562</v>
      </c>
      <c r="G130" s="2" t="s">
        <v>1036</v>
      </c>
      <c r="H130" s="2" t="s">
        <v>961</v>
      </c>
      <c r="I130" s="2" t="s">
        <v>394</v>
      </c>
      <c r="J130" s="2" t="s">
        <v>1037</v>
      </c>
      <c r="K130" s="2" t="s">
        <v>961</v>
      </c>
      <c r="L130" s="2" t="s">
        <v>961</v>
      </c>
      <c r="M130" s="2" t="s">
        <v>824</v>
      </c>
      <c r="N130" s="2" t="s">
        <v>824</v>
      </c>
      <c r="O130" s="2" t="s">
        <v>824</v>
      </c>
      <c r="P130" s="2" t="s">
        <v>825</v>
      </c>
      <c r="Q130" s="2" t="s">
        <v>825</v>
      </c>
      <c r="R130" s="2" t="s">
        <v>961</v>
      </c>
      <c r="S130" s="2" t="s">
        <v>1038</v>
      </c>
      <c r="T130" s="2" t="s">
        <v>825</v>
      </c>
      <c r="U130" s="2"/>
      <c r="V130" s="2" t="s">
        <v>827</v>
      </c>
      <c r="W130" s="2"/>
      <c r="X130" s="2"/>
      <c r="Y130" s="2"/>
      <c r="Z130" s="2" t="s">
        <v>8</v>
      </c>
      <c r="AA130" s="2"/>
      <c r="AB130" s="2" t="s">
        <v>8</v>
      </c>
      <c r="AC130" s="2" t="s">
        <v>8</v>
      </c>
      <c r="AD130" s="2" t="s">
        <v>8</v>
      </c>
      <c r="AE130" s="2"/>
      <c r="AF130" s="2"/>
      <c r="AG130" s="2" t="s">
        <v>581</v>
      </c>
      <c r="AH130" s="3" t="b">
        <v>0</v>
      </c>
      <c r="AI130" s="2"/>
      <c r="AJ130" s="2"/>
      <c r="AK130" s="2"/>
      <c r="AL130" s="2"/>
      <c r="AM130" s="2"/>
      <c r="AN130" s="2" t="s">
        <v>1039</v>
      </c>
      <c r="AO130" s="2"/>
      <c r="AP130" s="2"/>
      <c r="AQ130" s="2" t="s">
        <v>191</v>
      </c>
    </row>
    <row r="131" spans="1:43" ht="56">
      <c r="A131" s="2" t="s">
        <v>19</v>
      </c>
      <c r="B131" s="2" t="s">
        <v>1040</v>
      </c>
      <c r="C131" s="2" t="s">
        <v>680</v>
      </c>
      <c r="D131" s="2"/>
      <c r="E131" s="2" t="s">
        <v>200</v>
      </c>
      <c r="F131" s="2" t="s">
        <v>572</v>
      </c>
      <c r="G131" s="2" t="s">
        <v>1041</v>
      </c>
      <c r="H131" s="2" t="s">
        <v>911</v>
      </c>
      <c r="I131" s="2" t="s">
        <v>822</v>
      </c>
      <c r="J131" s="2" t="s">
        <v>823</v>
      </c>
      <c r="K131" s="2" t="s">
        <v>911</v>
      </c>
      <c r="L131" s="2" t="s">
        <v>911</v>
      </c>
      <c r="M131" s="2" t="s">
        <v>824</v>
      </c>
      <c r="N131" s="2" t="s">
        <v>824</v>
      </c>
      <c r="O131" s="2" t="s">
        <v>824</v>
      </c>
      <c r="P131" s="2" t="s">
        <v>825</v>
      </c>
      <c r="Q131" s="2" t="s">
        <v>825</v>
      </c>
      <c r="R131" s="2" t="s">
        <v>825</v>
      </c>
      <c r="S131" s="2" t="s">
        <v>826</v>
      </c>
      <c r="T131" s="2" t="s">
        <v>825</v>
      </c>
      <c r="U131" s="2"/>
      <c r="V131" s="2" t="s">
        <v>827</v>
      </c>
      <c r="W131" s="2"/>
      <c r="X131" s="2"/>
      <c r="Y131" s="2"/>
      <c r="Z131" s="2" t="s">
        <v>8</v>
      </c>
      <c r="AA131" s="2"/>
      <c r="AB131" s="2" t="s">
        <v>8</v>
      </c>
      <c r="AC131" s="2" t="s">
        <v>8</v>
      </c>
      <c r="AD131" s="2" t="s">
        <v>8</v>
      </c>
      <c r="AE131" s="2"/>
      <c r="AF131" s="2"/>
      <c r="AG131" s="2" t="s">
        <v>8</v>
      </c>
      <c r="AH131" s="3" t="b">
        <v>0</v>
      </c>
      <c r="AI131" s="2"/>
      <c r="AJ131" s="2"/>
      <c r="AK131" s="2"/>
      <c r="AL131" s="2"/>
      <c r="AM131" s="2"/>
      <c r="AN131" s="2" t="s">
        <v>1042</v>
      </c>
      <c r="AO131" s="2"/>
      <c r="AP131" s="2"/>
      <c r="AQ131" s="2" t="s">
        <v>191</v>
      </c>
    </row>
    <row r="132" spans="1:43" ht="56">
      <c r="A132" s="2" t="s">
        <v>19</v>
      </c>
      <c r="B132" s="2" t="s">
        <v>1043</v>
      </c>
      <c r="C132" s="2" t="s">
        <v>680</v>
      </c>
      <c r="D132" s="2"/>
      <c r="E132" s="2" t="s">
        <v>200</v>
      </c>
      <c r="F132" s="2" t="s">
        <v>562</v>
      </c>
      <c r="G132" s="2" t="s">
        <v>1044</v>
      </c>
      <c r="H132" s="2" t="s">
        <v>911</v>
      </c>
      <c r="I132" s="2" t="s">
        <v>822</v>
      </c>
      <c r="J132" s="2" t="s">
        <v>823</v>
      </c>
      <c r="K132" s="2" t="s">
        <v>911</v>
      </c>
      <c r="L132" s="2" t="s">
        <v>911</v>
      </c>
      <c r="M132" s="2" t="s">
        <v>824</v>
      </c>
      <c r="N132" s="2" t="s">
        <v>824</v>
      </c>
      <c r="O132" s="2" t="s">
        <v>824</v>
      </c>
      <c r="P132" s="2" t="s">
        <v>825</v>
      </c>
      <c r="Q132" s="2" t="s">
        <v>825</v>
      </c>
      <c r="R132" s="2" t="s">
        <v>825</v>
      </c>
      <c r="S132" s="2" t="s">
        <v>826</v>
      </c>
      <c r="T132" s="2" t="s">
        <v>825</v>
      </c>
      <c r="U132" s="2"/>
      <c r="V132" s="2" t="s">
        <v>827</v>
      </c>
      <c r="W132" s="2"/>
      <c r="X132" s="2"/>
      <c r="Y132" s="2"/>
      <c r="Z132" s="2" t="s">
        <v>8</v>
      </c>
      <c r="AA132" s="2"/>
      <c r="AB132" s="2" t="s">
        <v>8</v>
      </c>
      <c r="AC132" s="2" t="s">
        <v>8</v>
      </c>
      <c r="AD132" s="2" t="s">
        <v>8</v>
      </c>
      <c r="AE132" s="2"/>
      <c r="AF132" s="2"/>
      <c r="AG132" s="2" t="s">
        <v>8</v>
      </c>
      <c r="AH132" s="3" t="b">
        <v>0</v>
      </c>
      <c r="AI132" s="2"/>
      <c r="AJ132" s="2"/>
      <c r="AK132" s="2"/>
      <c r="AL132" s="2"/>
      <c r="AM132" s="2"/>
      <c r="AN132" s="2" t="s">
        <v>1042</v>
      </c>
      <c r="AO132" s="2"/>
      <c r="AP132" s="2"/>
      <c r="AQ132" s="2" t="s">
        <v>191</v>
      </c>
    </row>
    <row r="133" spans="1:43" ht="126">
      <c r="A133" s="2" t="s">
        <v>19</v>
      </c>
      <c r="B133" s="2" t="s">
        <v>1045</v>
      </c>
      <c r="C133" s="2" t="s">
        <v>680</v>
      </c>
      <c r="D133" s="2"/>
      <c r="E133" s="2" t="s">
        <v>233</v>
      </c>
      <c r="F133" s="2" t="s">
        <v>562</v>
      </c>
      <c r="G133" s="2" t="s">
        <v>1046</v>
      </c>
      <c r="H133" s="2" t="s">
        <v>900</v>
      </c>
      <c r="I133" s="2" t="s">
        <v>1047</v>
      </c>
      <c r="J133" s="2" t="s">
        <v>1048</v>
      </c>
      <c r="K133" s="2" t="s">
        <v>900</v>
      </c>
      <c r="L133" s="2" t="s">
        <v>900</v>
      </c>
      <c r="M133" s="2" t="s">
        <v>900</v>
      </c>
      <c r="N133" s="2" t="s">
        <v>900</v>
      </c>
      <c r="O133" s="2" t="s">
        <v>900</v>
      </c>
      <c r="P133" s="2" t="s">
        <v>900</v>
      </c>
      <c r="Q133" s="2" t="s">
        <v>900</v>
      </c>
      <c r="R133" s="2" t="s">
        <v>900</v>
      </c>
      <c r="S133" s="2" t="s">
        <v>900</v>
      </c>
      <c r="T133" s="2" t="s">
        <v>900</v>
      </c>
      <c r="U133" s="2"/>
      <c r="V133" s="2" t="s">
        <v>827</v>
      </c>
      <c r="W133" s="2"/>
      <c r="X133" s="2"/>
      <c r="Y133" s="2"/>
      <c r="Z133" s="2" t="s">
        <v>8</v>
      </c>
      <c r="AA133" s="2"/>
      <c r="AB133" s="2" t="s">
        <v>8</v>
      </c>
      <c r="AC133" s="2" t="s">
        <v>8</v>
      </c>
      <c r="AD133" s="2" t="s">
        <v>8</v>
      </c>
      <c r="AE133" s="2"/>
      <c r="AF133" s="2"/>
      <c r="AG133" s="2" t="s">
        <v>8</v>
      </c>
      <c r="AH133" s="3" t="b">
        <v>0</v>
      </c>
      <c r="AI133" s="2"/>
      <c r="AJ133" s="2"/>
      <c r="AK133" s="2"/>
      <c r="AL133" s="2"/>
      <c r="AM133" s="2"/>
      <c r="AN133" s="2" t="s">
        <v>1049</v>
      </c>
      <c r="AO133" s="2"/>
      <c r="AP133" s="2"/>
      <c r="AQ133" s="2" t="s">
        <v>191</v>
      </c>
    </row>
    <row r="134" spans="1:43" ht="126">
      <c r="A134" s="2" t="s">
        <v>19</v>
      </c>
      <c r="B134" s="2" t="s">
        <v>1050</v>
      </c>
      <c r="C134" s="2" t="s">
        <v>680</v>
      </c>
      <c r="D134" s="2"/>
      <c r="E134" s="2" t="s">
        <v>233</v>
      </c>
      <c r="F134" s="2" t="s">
        <v>546</v>
      </c>
      <c r="G134" s="2" t="s">
        <v>1051</v>
      </c>
      <c r="H134" s="2" t="s">
        <v>900</v>
      </c>
      <c r="I134" s="2" t="s">
        <v>1052</v>
      </c>
      <c r="J134" s="2" t="s">
        <v>1053</v>
      </c>
      <c r="K134" s="2" t="s">
        <v>900</v>
      </c>
      <c r="L134" s="2" t="s">
        <v>900</v>
      </c>
      <c r="M134" s="2" t="s">
        <v>900</v>
      </c>
      <c r="N134" s="2" t="s">
        <v>900</v>
      </c>
      <c r="O134" s="2" t="s">
        <v>900</v>
      </c>
      <c r="P134" s="2" t="s">
        <v>900</v>
      </c>
      <c r="Q134" s="2" t="s">
        <v>900</v>
      </c>
      <c r="R134" s="2" t="s">
        <v>900</v>
      </c>
      <c r="S134" s="2" t="s">
        <v>900</v>
      </c>
      <c r="T134" s="2" t="s">
        <v>900</v>
      </c>
      <c r="U134" s="2"/>
      <c r="V134" s="2" t="s">
        <v>827</v>
      </c>
      <c r="W134" s="2"/>
      <c r="X134" s="2"/>
      <c r="Y134" s="2"/>
      <c r="Z134" s="2" t="s">
        <v>8</v>
      </c>
      <c r="AA134" s="2"/>
      <c r="AB134" s="2" t="s">
        <v>8</v>
      </c>
      <c r="AC134" s="2" t="s">
        <v>8</v>
      </c>
      <c r="AD134" s="2" t="s">
        <v>8</v>
      </c>
      <c r="AE134" s="2"/>
      <c r="AF134" s="2"/>
      <c r="AG134" s="2" t="s">
        <v>8</v>
      </c>
      <c r="AH134" s="3" t="b">
        <v>0</v>
      </c>
      <c r="AI134" s="2"/>
      <c r="AJ134" s="2"/>
      <c r="AK134" s="2"/>
      <c r="AL134" s="2"/>
      <c r="AM134" s="2"/>
      <c r="AN134" s="2" t="s">
        <v>1054</v>
      </c>
      <c r="AO134" s="2"/>
      <c r="AP134" s="2"/>
      <c r="AQ134" s="2" t="s">
        <v>191</v>
      </c>
    </row>
    <row r="135" spans="1:43" ht="252">
      <c r="A135" s="2" t="s">
        <v>19</v>
      </c>
      <c r="B135" s="2" t="s">
        <v>395</v>
      </c>
      <c r="C135" s="2" t="s">
        <v>680</v>
      </c>
      <c r="D135" s="2"/>
      <c r="E135" s="2" t="s">
        <v>233</v>
      </c>
      <c r="F135" s="2" t="s">
        <v>562</v>
      </c>
      <c r="G135" s="2" t="s">
        <v>1055</v>
      </c>
      <c r="H135" s="2" t="s">
        <v>900</v>
      </c>
      <c r="I135" s="2" t="s">
        <v>398</v>
      </c>
      <c r="J135" s="2" t="s">
        <v>1056</v>
      </c>
      <c r="K135" s="2" t="s">
        <v>900</v>
      </c>
      <c r="L135" s="2" t="s">
        <v>900</v>
      </c>
      <c r="M135" s="2" t="s">
        <v>900</v>
      </c>
      <c r="N135" s="2" t="s">
        <v>900</v>
      </c>
      <c r="O135" s="2" t="s">
        <v>900</v>
      </c>
      <c r="P135" s="2" t="s">
        <v>900</v>
      </c>
      <c r="Q135" s="2" t="s">
        <v>900</v>
      </c>
      <c r="R135" s="2" t="s">
        <v>900</v>
      </c>
      <c r="S135" s="2" t="s">
        <v>900</v>
      </c>
      <c r="T135" s="2" t="s">
        <v>900</v>
      </c>
      <c r="U135" s="2"/>
      <c r="V135" s="2" t="s">
        <v>827</v>
      </c>
      <c r="W135" s="2"/>
      <c r="X135" s="2"/>
      <c r="Y135" s="2"/>
      <c r="Z135" s="2" t="s">
        <v>8</v>
      </c>
      <c r="AA135" s="2"/>
      <c r="AB135" s="2" t="s">
        <v>10</v>
      </c>
      <c r="AC135" s="2" t="s">
        <v>8</v>
      </c>
      <c r="AD135" s="2" t="s">
        <v>550</v>
      </c>
      <c r="AE135" s="2"/>
      <c r="AF135" s="2"/>
      <c r="AG135" s="2" t="s">
        <v>581</v>
      </c>
      <c r="AH135" s="3" t="b">
        <v>1</v>
      </c>
      <c r="AI135" s="2"/>
      <c r="AJ135" s="2"/>
      <c r="AK135" s="2"/>
      <c r="AL135" s="2"/>
      <c r="AM135" s="2"/>
      <c r="AN135" s="2" t="s">
        <v>1057</v>
      </c>
      <c r="AO135" s="2"/>
      <c r="AP135" s="2"/>
      <c r="AQ135" s="2" t="s">
        <v>191</v>
      </c>
    </row>
    <row r="136" spans="1:43" ht="126">
      <c r="A136" s="2" t="s">
        <v>19</v>
      </c>
      <c r="B136" s="2" t="s">
        <v>1058</v>
      </c>
      <c r="C136" s="2" t="s">
        <v>680</v>
      </c>
      <c r="D136" s="2"/>
      <c r="E136" s="2" t="s">
        <v>233</v>
      </c>
      <c r="F136" s="2" t="s">
        <v>546</v>
      </c>
      <c r="G136" s="2" t="s">
        <v>1059</v>
      </c>
      <c r="H136" s="2" t="s">
        <v>900</v>
      </c>
      <c r="I136" s="2" t="s">
        <v>1060</v>
      </c>
      <c r="J136" s="2" t="s">
        <v>1061</v>
      </c>
      <c r="K136" s="2" t="s">
        <v>900</v>
      </c>
      <c r="L136" s="2" t="s">
        <v>900</v>
      </c>
      <c r="M136" s="2" t="s">
        <v>900</v>
      </c>
      <c r="N136" s="2" t="s">
        <v>900</v>
      </c>
      <c r="O136" s="2" t="s">
        <v>900</v>
      </c>
      <c r="P136" s="2" t="s">
        <v>900</v>
      </c>
      <c r="Q136" s="2" t="s">
        <v>900</v>
      </c>
      <c r="R136" s="2" t="s">
        <v>900</v>
      </c>
      <c r="S136" s="2" t="s">
        <v>900</v>
      </c>
      <c r="T136" s="2" t="s">
        <v>900</v>
      </c>
      <c r="U136" s="2"/>
      <c r="V136" s="2" t="s">
        <v>827</v>
      </c>
      <c r="W136" s="2"/>
      <c r="X136" s="2"/>
      <c r="Y136" s="2"/>
      <c r="Z136" s="2" t="s">
        <v>8</v>
      </c>
      <c r="AA136" s="2"/>
      <c r="AB136" s="2" t="s">
        <v>8</v>
      </c>
      <c r="AC136" s="2" t="s">
        <v>8</v>
      </c>
      <c r="AD136" s="2" t="s">
        <v>8</v>
      </c>
      <c r="AE136" s="2"/>
      <c r="AF136" s="2"/>
      <c r="AG136" s="2" t="s">
        <v>8</v>
      </c>
      <c r="AH136" s="3" t="b">
        <v>0</v>
      </c>
      <c r="AI136" s="2"/>
      <c r="AJ136" s="2"/>
      <c r="AK136" s="2"/>
      <c r="AL136" s="2"/>
      <c r="AM136" s="2"/>
      <c r="AN136" s="2" t="s">
        <v>1062</v>
      </c>
      <c r="AO136" s="2"/>
      <c r="AP136" s="2"/>
      <c r="AQ136" s="2" t="s">
        <v>191</v>
      </c>
    </row>
    <row r="137" spans="1:43" ht="56">
      <c r="A137" s="2" t="s">
        <v>19</v>
      </c>
      <c r="B137" s="2" t="s">
        <v>1063</v>
      </c>
      <c r="C137" s="2" t="s">
        <v>680</v>
      </c>
      <c r="D137" s="2"/>
      <c r="E137" s="2" t="s">
        <v>185</v>
      </c>
      <c r="F137" s="2" t="s">
        <v>572</v>
      </c>
      <c r="G137" s="2" t="s">
        <v>1064</v>
      </c>
      <c r="H137" s="2" t="s">
        <v>867</v>
      </c>
      <c r="I137" s="2" t="s">
        <v>1065</v>
      </c>
      <c r="J137" s="2" t="s">
        <v>1066</v>
      </c>
      <c r="K137" s="2" t="s">
        <v>867</v>
      </c>
      <c r="L137" s="2" t="s">
        <v>867</v>
      </c>
      <c r="M137" s="2" t="s">
        <v>824</v>
      </c>
      <c r="N137" s="2" t="s">
        <v>824</v>
      </c>
      <c r="O137" s="2" t="s">
        <v>824</v>
      </c>
      <c r="P137" s="2" t="s">
        <v>825</v>
      </c>
      <c r="Q137" s="2" t="s">
        <v>825</v>
      </c>
      <c r="R137" s="2" t="s">
        <v>825</v>
      </c>
      <c r="S137" s="2" t="s">
        <v>826</v>
      </c>
      <c r="T137" s="2" t="s">
        <v>825</v>
      </c>
      <c r="U137" s="2"/>
      <c r="V137" s="2" t="s">
        <v>827</v>
      </c>
      <c r="W137" s="2"/>
      <c r="X137" s="2"/>
      <c r="Y137" s="2"/>
      <c r="Z137" s="2" t="s">
        <v>8</v>
      </c>
      <c r="AA137" s="2"/>
      <c r="AB137" s="2" t="s">
        <v>8</v>
      </c>
      <c r="AC137" s="2" t="s">
        <v>8</v>
      </c>
      <c r="AD137" s="2" t="s">
        <v>8</v>
      </c>
      <c r="AE137" s="2"/>
      <c r="AF137" s="2"/>
      <c r="AG137" s="2" t="s">
        <v>8</v>
      </c>
      <c r="AH137" s="3" t="b">
        <v>0</v>
      </c>
      <c r="AI137" s="2"/>
      <c r="AJ137" s="2"/>
      <c r="AK137" s="2"/>
      <c r="AL137" s="2"/>
      <c r="AM137" s="2"/>
      <c r="AN137" s="2" t="s">
        <v>882</v>
      </c>
      <c r="AO137" s="2"/>
      <c r="AP137" s="2"/>
      <c r="AQ137" s="2" t="s">
        <v>191</v>
      </c>
    </row>
    <row r="138" spans="1:43" ht="56">
      <c r="A138" s="2" t="s">
        <v>19</v>
      </c>
      <c r="B138" s="2" t="s">
        <v>1067</v>
      </c>
      <c r="C138" s="2" t="s">
        <v>680</v>
      </c>
      <c r="D138" s="2"/>
      <c r="E138" s="2" t="s">
        <v>193</v>
      </c>
      <c r="F138" s="2" t="s">
        <v>572</v>
      </c>
      <c r="G138" s="2" t="s">
        <v>1068</v>
      </c>
      <c r="H138" s="2" t="s">
        <v>993</v>
      </c>
      <c r="I138" s="2" t="s">
        <v>822</v>
      </c>
      <c r="J138" s="2" t="s">
        <v>823</v>
      </c>
      <c r="K138" s="2" t="s">
        <v>993</v>
      </c>
      <c r="L138" s="2" t="s">
        <v>993</v>
      </c>
      <c r="M138" s="2" t="s">
        <v>824</v>
      </c>
      <c r="N138" s="2" t="s">
        <v>824</v>
      </c>
      <c r="O138" s="2" t="s">
        <v>824</v>
      </c>
      <c r="P138" s="2" t="s">
        <v>825</v>
      </c>
      <c r="Q138" s="2" t="s">
        <v>825</v>
      </c>
      <c r="R138" s="2" t="s">
        <v>825</v>
      </c>
      <c r="S138" s="2" t="s">
        <v>826</v>
      </c>
      <c r="T138" s="2" t="s">
        <v>825</v>
      </c>
      <c r="U138" s="2"/>
      <c r="V138" s="2" t="s">
        <v>827</v>
      </c>
      <c r="W138" s="2"/>
      <c r="X138" s="2"/>
      <c r="Y138" s="2"/>
      <c r="Z138" s="2" t="s">
        <v>8</v>
      </c>
      <c r="AA138" s="2"/>
      <c r="AB138" s="2" t="s">
        <v>8</v>
      </c>
      <c r="AC138" s="2" t="s">
        <v>8</v>
      </c>
      <c r="AD138" s="2" t="s">
        <v>8</v>
      </c>
      <c r="AE138" s="2"/>
      <c r="AF138" s="2"/>
      <c r="AG138" s="2" t="s">
        <v>8</v>
      </c>
      <c r="AH138" s="3" t="b">
        <v>0</v>
      </c>
      <c r="AI138" s="2"/>
      <c r="AJ138" s="2"/>
      <c r="AK138" s="2"/>
      <c r="AL138" s="2"/>
      <c r="AM138" s="2"/>
      <c r="AN138" s="2" t="s">
        <v>1069</v>
      </c>
      <c r="AO138" s="2"/>
      <c r="AP138" s="2"/>
      <c r="AQ138" s="2" t="s">
        <v>191</v>
      </c>
    </row>
    <row r="139" spans="1:43" ht="56">
      <c r="A139" s="2" t="s">
        <v>19</v>
      </c>
      <c r="B139" s="2" t="s">
        <v>1070</v>
      </c>
      <c r="C139" s="2" t="s">
        <v>680</v>
      </c>
      <c r="D139" s="2"/>
      <c r="E139" s="2" t="s">
        <v>185</v>
      </c>
      <c r="F139" s="2" t="s">
        <v>562</v>
      </c>
      <c r="G139" s="2" t="s">
        <v>1071</v>
      </c>
      <c r="H139" s="2" t="s">
        <v>1072</v>
      </c>
      <c r="I139" s="2" t="s">
        <v>1073</v>
      </c>
      <c r="J139" s="2" t="s">
        <v>1074</v>
      </c>
      <c r="K139" s="2" t="s">
        <v>1072</v>
      </c>
      <c r="L139" s="2" t="s">
        <v>1072</v>
      </c>
      <c r="M139" s="2" t="s">
        <v>824</v>
      </c>
      <c r="N139" s="2" t="s">
        <v>824</v>
      </c>
      <c r="O139" s="2" t="s">
        <v>824</v>
      </c>
      <c r="P139" s="2" t="s">
        <v>825</v>
      </c>
      <c r="Q139" s="2" t="s">
        <v>825</v>
      </c>
      <c r="R139" s="2" t="s">
        <v>825</v>
      </c>
      <c r="S139" s="2" t="s">
        <v>826</v>
      </c>
      <c r="T139" s="2" t="s">
        <v>825</v>
      </c>
      <c r="U139" s="2"/>
      <c r="V139" s="2" t="s">
        <v>827</v>
      </c>
      <c r="W139" s="2"/>
      <c r="X139" s="2"/>
      <c r="Y139" s="2"/>
      <c r="Z139" s="2" t="s">
        <v>8</v>
      </c>
      <c r="AA139" s="2"/>
      <c r="AB139" s="2" t="s">
        <v>8</v>
      </c>
      <c r="AC139" s="2" t="s">
        <v>8</v>
      </c>
      <c r="AD139" s="2" t="s">
        <v>8</v>
      </c>
      <c r="AE139" s="2"/>
      <c r="AF139" s="2"/>
      <c r="AG139" s="2" t="s">
        <v>8</v>
      </c>
      <c r="AH139" s="3" t="b">
        <v>0</v>
      </c>
      <c r="AI139" s="2"/>
      <c r="AJ139" s="2"/>
      <c r="AK139" s="2"/>
      <c r="AL139" s="2"/>
      <c r="AM139" s="2"/>
      <c r="AN139" s="2" t="s">
        <v>1075</v>
      </c>
      <c r="AO139" s="2"/>
      <c r="AP139" s="2"/>
      <c r="AQ139" s="2" t="s">
        <v>191</v>
      </c>
    </row>
    <row r="140" spans="1:43" ht="126">
      <c r="A140" s="2" t="s">
        <v>19</v>
      </c>
      <c r="B140" s="2" t="s">
        <v>1076</v>
      </c>
      <c r="C140" s="2" t="s">
        <v>680</v>
      </c>
      <c r="D140" s="2"/>
      <c r="E140" s="2" t="s">
        <v>233</v>
      </c>
      <c r="F140" s="2" t="s">
        <v>546</v>
      </c>
      <c r="G140" s="2" t="s">
        <v>1077</v>
      </c>
      <c r="H140" s="2" t="s">
        <v>900</v>
      </c>
      <c r="I140" s="2" t="s">
        <v>1078</v>
      </c>
      <c r="J140" s="2" t="s">
        <v>1079</v>
      </c>
      <c r="K140" s="2" t="s">
        <v>900</v>
      </c>
      <c r="L140" s="2" t="s">
        <v>900</v>
      </c>
      <c r="M140" s="2" t="s">
        <v>900</v>
      </c>
      <c r="N140" s="2" t="s">
        <v>900</v>
      </c>
      <c r="O140" s="2" t="s">
        <v>900</v>
      </c>
      <c r="P140" s="2" t="s">
        <v>900</v>
      </c>
      <c r="Q140" s="2" t="s">
        <v>900</v>
      </c>
      <c r="R140" s="2" t="s">
        <v>900</v>
      </c>
      <c r="S140" s="2" t="s">
        <v>900</v>
      </c>
      <c r="T140" s="2" t="s">
        <v>900</v>
      </c>
      <c r="U140" s="2"/>
      <c r="V140" s="2" t="s">
        <v>827</v>
      </c>
      <c r="W140" s="2"/>
      <c r="X140" s="2"/>
      <c r="Y140" s="2"/>
      <c r="Z140" s="2" t="s">
        <v>8</v>
      </c>
      <c r="AA140" s="2"/>
      <c r="AB140" s="2" t="s">
        <v>8</v>
      </c>
      <c r="AC140" s="2" t="s">
        <v>8</v>
      </c>
      <c r="AD140" s="2" t="s">
        <v>8</v>
      </c>
      <c r="AE140" s="2"/>
      <c r="AF140" s="2"/>
      <c r="AG140" s="2" t="s">
        <v>8</v>
      </c>
      <c r="AH140" s="3" t="b">
        <v>0</v>
      </c>
      <c r="AI140" s="2"/>
      <c r="AJ140" s="2"/>
      <c r="AK140" s="2"/>
      <c r="AL140" s="2"/>
      <c r="AM140" s="2"/>
      <c r="AN140" s="2" t="s">
        <v>1080</v>
      </c>
      <c r="AO140" s="2"/>
      <c r="AP140" s="2"/>
      <c r="AQ140" s="2" t="s">
        <v>191</v>
      </c>
    </row>
    <row r="141" spans="1:43" ht="56">
      <c r="A141" s="2" t="s">
        <v>21</v>
      </c>
      <c r="B141" s="2" t="s">
        <v>1081</v>
      </c>
      <c r="C141" s="2" t="s">
        <v>545</v>
      </c>
      <c r="D141" s="2" t="s">
        <v>1082</v>
      </c>
      <c r="E141" s="2" t="s">
        <v>185</v>
      </c>
      <c r="F141" s="2" t="s">
        <v>546</v>
      </c>
      <c r="G141" s="2" t="s">
        <v>1083</v>
      </c>
      <c r="H141" s="2">
        <v>4</v>
      </c>
      <c r="I141" s="2" t="s">
        <v>1084</v>
      </c>
      <c r="J141" s="2"/>
      <c r="K141" s="2">
        <v>4</v>
      </c>
      <c r="L141" s="2"/>
      <c r="M141" s="2" t="s">
        <v>12</v>
      </c>
      <c r="N141" s="2"/>
      <c r="O141" s="2"/>
      <c r="P141" s="2"/>
      <c r="Q141" s="2"/>
      <c r="R141" s="2"/>
      <c r="S141" s="2"/>
      <c r="T141" s="2"/>
      <c r="U141" s="2" t="s">
        <v>549</v>
      </c>
      <c r="V141" s="2"/>
      <c r="W141" s="2"/>
      <c r="X141" s="2"/>
      <c r="Y141" s="2"/>
      <c r="Z141" s="2"/>
      <c r="AA141" s="2"/>
      <c r="AB141" s="2"/>
      <c r="AC141" s="2"/>
      <c r="AD141" s="2"/>
      <c r="AE141" s="2"/>
      <c r="AF141" s="2"/>
      <c r="AG141" s="2" t="s">
        <v>15</v>
      </c>
      <c r="AH141" s="2"/>
      <c r="AI141" s="2" t="s">
        <v>1085</v>
      </c>
      <c r="AJ141" s="2" t="s">
        <v>1086</v>
      </c>
      <c r="AK141" s="2" t="s">
        <v>1087</v>
      </c>
      <c r="AL141" s="2" t="s">
        <v>1088</v>
      </c>
      <c r="AM141" s="2"/>
      <c r="AN141" s="2"/>
      <c r="AO141" s="2"/>
      <c r="AP141" s="2">
        <v>4</v>
      </c>
      <c r="AQ141" s="2" t="s">
        <v>218</v>
      </c>
    </row>
    <row r="142" spans="1:43" ht="56">
      <c r="A142" s="2" t="s">
        <v>21</v>
      </c>
      <c r="B142" s="2" t="s">
        <v>1089</v>
      </c>
      <c r="C142" s="2" t="s">
        <v>545</v>
      </c>
      <c r="D142" s="2" t="s">
        <v>1082</v>
      </c>
      <c r="E142" s="2" t="s">
        <v>193</v>
      </c>
      <c r="F142" s="2" t="s">
        <v>546</v>
      </c>
      <c r="G142" s="2" t="s">
        <v>1090</v>
      </c>
      <c r="H142" s="2">
        <v>1</v>
      </c>
      <c r="I142" s="2" t="s">
        <v>1091</v>
      </c>
      <c r="J142" s="2"/>
      <c r="K142" s="2">
        <v>1</v>
      </c>
      <c r="L142" s="2"/>
      <c r="M142" s="2" t="s">
        <v>12</v>
      </c>
      <c r="N142" s="2"/>
      <c r="O142" s="2"/>
      <c r="P142" s="2"/>
      <c r="Q142" s="2"/>
      <c r="R142" s="2"/>
      <c r="S142" s="2"/>
      <c r="T142" s="2"/>
      <c r="U142" s="2" t="s">
        <v>549</v>
      </c>
      <c r="V142" s="2"/>
      <c r="W142" s="2"/>
      <c r="X142" s="2"/>
      <c r="Y142" s="2"/>
      <c r="Z142" s="2"/>
      <c r="AA142" s="2"/>
      <c r="AB142" s="2"/>
      <c r="AC142" s="2"/>
      <c r="AD142" s="2"/>
      <c r="AE142" s="2"/>
      <c r="AF142" s="2"/>
      <c r="AG142" s="2" t="s">
        <v>15</v>
      </c>
      <c r="AH142" s="2"/>
      <c r="AI142" s="2" t="s">
        <v>1085</v>
      </c>
      <c r="AJ142" s="2" t="s">
        <v>1086</v>
      </c>
      <c r="AK142" s="2" t="s">
        <v>1087</v>
      </c>
      <c r="AL142" s="2" t="s">
        <v>1088</v>
      </c>
      <c r="AM142" s="2"/>
      <c r="AN142" s="2"/>
      <c r="AO142" s="2"/>
      <c r="AP142" s="2">
        <v>0.2</v>
      </c>
      <c r="AQ142" s="2" t="s">
        <v>218</v>
      </c>
    </row>
    <row r="143" spans="1:43" ht="56">
      <c r="A143" s="2" t="s">
        <v>21</v>
      </c>
      <c r="B143" s="2" t="s">
        <v>1092</v>
      </c>
      <c r="C143" s="2" t="s">
        <v>545</v>
      </c>
      <c r="D143" s="2" t="s">
        <v>1082</v>
      </c>
      <c r="E143" s="2" t="s">
        <v>185</v>
      </c>
      <c r="F143" s="2" t="s">
        <v>546</v>
      </c>
      <c r="G143" s="2" t="s">
        <v>1093</v>
      </c>
      <c r="H143" s="2">
        <v>1</v>
      </c>
      <c r="I143" s="2" t="s">
        <v>1094</v>
      </c>
      <c r="J143" s="2"/>
      <c r="K143" s="2">
        <v>1</v>
      </c>
      <c r="L143" s="2"/>
      <c r="M143" s="2" t="s">
        <v>12</v>
      </c>
      <c r="N143" s="2"/>
      <c r="O143" s="2"/>
      <c r="P143" s="2"/>
      <c r="Q143" s="2"/>
      <c r="R143" s="2"/>
      <c r="S143" s="2"/>
      <c r="T143" s="2"/>
      <c r="U143" s="2" t="s">
        <v>549</v>
      </c>
      <c r="V143" s="2"/>
      <c r="W143" s="2"/>
      <c r="X143" s="2"/>
      <c r="Y143" s="2"/>
      <c r="Z143" s="2"/>
      <c r="AA143" s="2"/>
      <c r="AB143" s="2"/>
      <c r="AC143" s="2"/>
      <c r="AD143" s="2"/>
      <c r="AE143" s="2"/>
      <c r="AF143" s="2"/>
      <c r="AG143" s="2" t="s">
        <v>15</v>
      </c>
      <c r="AH143" s="2"/>
      <c r="AI143" s="2" t="s">
        <v>1085</v>
      </c>
      <c r="AJ143" s="2" t="s">
        <v>1086</v>
      </c>
      <c r="AK143" s="2" t="s">
        <v>1087</v>
      </c>
      <c r="AL143" s="2" t="s">
        <v>1088</v>
      </c>
      <c r="AM143" s="2"/>
      <c r="AN143" s="2"/>
      <c r="AO143" s="2"/>
      <c r="AP143" s="2">
        <v>7.9</v>
      </c>
      <c r="AQ143" s="2" t="s">
        <v>218</v>
      </c>
    </row>
    <row r="144" spans="1:43" ht="56">
      <c r="A144" s="2" t="s">
        <v>21</v>
      </c>
      <c r="B144" s="2" t="s">
        <v>1095</v>
      </c>
      <c r="C144" s="2" t="s">
        <v>545</v>
      </c>
      <c r="D144" s="2" t="s">
        <v>1082</v>
      </c>
      <c r="E144" s="2" t="s">
        <v>193</v>
      </c>
      <c r="F144" s="2" t="s">
        <v>562</v>
      </c>
      <c r="G144" s="2" t="s">
        <v>1096</v>
      </c>
      <c r="H144" s="2">
        <v>2</v>
      </c>
      <c r="I144" s="2" t="s">
        <v>1097</v>
      </c>
      <c r="J144" s="2"/>
      <c r="K144" s="2">
        <v>2</v>
      </c>
      <c r="L144" s="2"/>
      <c r="M144" s="2" t="s">
        <v>12</v>
      </c>
      <c r="N144" s="2"/>
      <c r="O144" s="2"/>
      <c r="P144" s="2"/>
      <c r="Q144" s="2"/>
      <c r="R144" s="2"/>
      <c r="S144" s="2"/>
      <c r="T144" s="2"/>
      <c r="U144" s="2" t="s">
        <v>549</v>
      </c>
      <c r="V144" s="2"/>
      <c r="W144" s="2"/>
      <c r="X144" s="2"/>
      <c r="Y144" s="2"/>
      <c r="Z144" s="2"/>
      <c r="AA144" s="2"/>
      <c r="AB144" s="2"/>
      <c r="AC144" s="2"/>
      <c r="AD144" s="2"/>
      <c r="AE144" s="2"/>
      <c r="AF144" s="2"/>
      <c r="AG144" s="2" t="s">
        <v>15</v>
      </c>
      <c r="AH144" s="2"/>
      <c r="AI144" s="2" t="s">
        <v>1085</v>
      </c>
      <c r="AJ144" s="2" t="s">
        <v>1086</v>
      </c>
      <c r="AK144" s="2" t="s">
        <v>1087</v>
      </c>
      <c r="AL144" s="2" t="s">
        <v>1088</v>
      </c>
      <c r="AM144" s="2"/>
      <c r="AN144" s="2"/>
      <c r="AO144" s="2"/>
      <c r="AP144" s="2">
        <v>83.6</v>
      </c>
      <c r="AQ144" s="2" t="s">
        <v>218</v>
      </c>
    </row>
    <row r="145" spans="1:43" ht="56">
      <c r="A145" s="2" t="s">
        <v>21</v>
      </c>
      <c r="B145" s="2" t="s">
        <v>1098</v>
      </c>
      <c r="C145" s="2" t="s">
        <v>545</v>
      </c>
      <c r="D145" s="2" t="s">
        <v>1082</v>
      </c>
      <c r="E145" s="2" t="s">
        <v>193</v>
      </c>
      <c r="F145" s="2" t="s">
        <v>572</v>
      </c>
      <c r="G145" s="2" t="s">
        <v>1099</v>
      </c>
      <c r="H145" s="2">
        <v>4</v>
      </c>
      <c r="I145" s="2" t="s">
        <v>1100</v>
      </c>
      <c r="J145" s="2"/>
      <c r="K145" s="2">
        <v>4</v>
      </c>
      <c r="L145" s="2"/>
      <c r="M145" s="2" t="s">
        <v>12</v>
      </c>
      <c r="N145" s="2"/>
      <c r="O145" s="2"/>
      <c r="P145" s="2"/>
      <c r="Q145" s="2"/>
      <c r="R145" s="2"/>
      <c r="S145" s="2"/>
      <c r="T145" s="2"/>
      <c r="U145" s="2" t="s">
        <v>549</v>
      </c>
      <c r="V145" s="2"/>
      <c r="W145" s="2"/>
      <c r="X145" s="2"/>
      <c r="Y145" s="2"/>
      <c r="Z145" s="2"/>
      <c r="AA145" s="2"/>
      <c r="AB145" s="2"/>
      <c r="AC145" s="2"/>
      <c r="AD145" s="2"/>
      <c r="AE145" s="2"/>
      <c r="AF145" s="2"/>
      <c r="AG145" s="2" t="s">
        <v>15</v>
      </c>
      <c r="AH145" s="2"/>
      <c r="AI145" s="2" t="s">
        <v>1085</v>
      </c>
      <c r="AJ145" s="2" t="s">
        <v>1086</v>
      </c>
      <c r="AK145" s="2" t="s">
        <v>1087</v>
      </c>
      <c r="AL145" s="2" t="s">
        <v>1088</v>
      </c>
      <c r="AM145" s="2"/>
      <c r="AN145" s="2"/>
      <c r="AO145" s="2"/>
      <c r="AP145" s="2">
        <v>33.9</v>
      </c>
      <c r="AQ145" s="2" t="s">
        <v>218</v>
      </c>
    </row>
    <row r="146" spans="1:43" ht="56">
      <c r="A146" s="2" t="s">
        <v>21</v>
      </c>
      <c r="B146" s="2" t="s">
        <v>1101</v>
      </c>
      <c r="C146" s="2" t="s">
        <v>545</v>
      </c>
      <c r="D146" s="2" t="s">
        <v>1082</v>
      </c>
      <c r="E146" s="2" t="s">
        <v>193</v>
      </c>
      <c r="F146" s="2" t="s">
        <v>562</v>
      </c>
      <c r="G146" s="2" t="s">
        <v>1102</v>
      </c>
      <c r="H146" s="2">
        <v>2</v>
      </c>
      <c r="I146" s="2" t="s">
        <v>1103</v>
      </c>
      <c r="J146" s="2"/>
      <c r="K146" s="2">
        <v>2</v>
      </c>
      <c r="L146" s="2"/>
      <c r="M146" s="2" t="s">
        <v>12</v>
      </c>
      <c r="N146" s="2"/>
      <c r="O146" s="2"/>
      <c r="P146" s="2"/>
      <c r="Q146" s="2"/>
      <c r="R146" s="2"/>
      <c r="S146" s="2"/>
      <c r="T146" s="2"/>
      <c r="U146" s="2" t="s">
        <v>549</v>
      </c>
      <c r="V146" s="2"/>
      <c r="W146" s="2"/>
      <c r="X146" s="2"/>
      <c r="Y146" s="2"/>
      <c r="Z146" s="2"/>
      <c r="AA146" s="2"/>
      <c r="AB146" s="2"/>
      <c r="AC146" s="2"/>
      <c r="AD146" s="2"/>
      <c r="AE146" s="2"/>
      <c r="AF146" s="2"/>
      <c r="AG146" s="2" t="s">
        <v>15</v>
      </c>
      <c r="AH146" s="2"/>
      <c r="AI146" s="2" t="s">
        <v>1085</v>
      </c>
      <c r="AJ146" s="2" t="s">
        <v>1086</v>
      </c>
      <c r="AK146" s="2" t="s">
        <v>1087</v>
      </c>
      <c r="AL146" s="2" t="s">
        <v>1088</v>
      </c>
      <c r="AM146" s="2"/>
      <c r="AN146" s="2"/>
      <c r="AO146" s="2"/>
      <c r="AP146" s="2">
        <v>79.5</v>
      </c>
      <c r="AQ146" s="2" t="s">
        <v>218</v>
      </c>
    </row>
    <row r="147" spans="1:43" ht="112">
      <c r="A147" s="2" t="s">
        <v>21</v>
      </c>
      <c r="B147" s="2" t="s">
        <v>212</v>
      </c>
      <c r="C147" s="2" t="s">
        <v>545</v>
      </c>
      <c r="D147" s="2" t="s">
        <v>213</v>
      </c>
      <c r="E147" s="2" t="s">
        <v>200</v>
      </c>
      <c r="F147" s="2" t="s">
        <v>572</v>
      </c>
      <c r="G147" s="2" t="s">
        <v>1104</v>
      </c>
      <c r="H147" s="2">
        <v>4</v>
      </c>
      <c r="I147" s="2" t="s">
        <v>1105</v>
      </c>
      <c r="J147" s="2"/>
      <c r="K147" s="2">
        <v>4</v>
      </c>
      <c r="L147" s="2"/>
      <c r="M147" s="2" t="s">
        <v>12</v>
      </c>
      <c r="N147" s="2"/>
      <c r="O147" s="2"/>
      <c r="P147" s="2"/>
      <c r="Q147" s="2"/>
      <c r="R147" s="2"/>
      <c r="S147" s="2"/>
      <c r="T147" s="2"/>
      <c r="U147" s="2" t="s">
        <v>549</v>
      </c>
      <c r="V147" s="2"/>
      <c r="W147" s="2"/>
      <c r="X147" s="2"/>
      <c r="Y147" s="2"/>
      <c r="Z147" s="2"/>
      <c r="AA147" s="2"/>
      <c r="AB147" s="2"/>
      <c r="AC147" s="2"/>
      <c r="AD147" s="2"/>
      <c r="AE147" s="2"/>
      <c r="AF147" s="2"/>
      <c r="AG147" s="2" t="s">
        <v>13</v>
      </c>
      <c r="AH147" s="2"/>
      <c r="AI147" s="2" t="s">
        <v>1106</v>
      </c>
      <c r="AJ147" s="2" t="s">
        <v>13</v>
      </c>
      <c r="AK147" s="2" t="s">
        <v>1107</v>
      </c>
      <c r="AL147" s="2" t="s">
        <v>1108</v>
      </c>
      <c r="AM147" s="2"/>
      <c r="AN147" s="2"/>
      <c r="AO147" s="2"/>
      <c r="AP147" s="2">
        <v>0.7</v>
      </c>
      <c r="AQ147" s="2" t="s">
        <v>218</v>
      </c>
    </row>
    <row r="148" spans="1:43" ht="70">
      <c r="A148" s="2" t="s">
        <v>21</v>
      </c>
      <c r="B148" s="2" t="s">
        <v>1109</v>
      </c>
      <c r="C148" s="2" t="s">
        <v>545</v>
      </c>
      <c r="D148" s="2" t="s">
        <v>213</v>
      </c>
      <c r="E148" s="2" t="s">
        <v>185</v>
      </c>
      <c r="F148" s="2" t="s">
        <v>546</v>
      </c>
      <c r="G148" s="2" t="s">
        <v>1110</v>
      </c>
      <c r="H148" s="2">
        <v>1</v>
      </c>
      <c r="I148" s="2" t="s">
        <v>1111</v>
      </c>
      <c r="J148" s="2"/>
      <c r="K148" s="2">
        <v>1</v>
      </c>
      <c r="L148" s="2"/>
      <c r="M148" s="2" t="s">
        <v>12</v>
      </c>
      <c r="N148" s="2"/>
      <c r="O148" s="2"/>
      <c r="P148" s="2"/>
      <c r="Q148" s="2"/>
      <c r="R148" s="2"/>
      <c r="S148" s="2"/>
      <c r="T148" s="2"/>
      <c r="U148" s="2" t="s">
        <v>549</v>
      </c>
      <c r="V148" s="2"/>
      <c r="W148" s="2"/>
      <c r="X148" s="2"/>
      <c r="Y148" s="2"/>
      <c r="Z148" s="2"/>
      <c r="AA148" s="2"/>
      <c r="AB148" s="2"/>
      <c r="AC148" s="2"/>
      <c r="AD148" s="2"/>
      <c r="AE148" s="2"/>
      <c r="AF148" s="2"/>
      <c r="AG148" s="2" t="s">
        <v>15</v>
      </c>
      <c r="AH148" s="2"/>
      <c r="AI148" s="2" t="s">
        <v>1085</v>
      </c>
      <c r="AJ148" s="2" t="s">
        <v>1086</v>
      </c>
      <c r="AK148" s="2" t="s">
        <v>1087</v>
      </c>
      <c r="AL148" s="2" t="s">
        <v>1088</v>
      </c>
      <c r="AM148" s="2"/>
      <c r="AN148" s="2"/>
      <c r="AO148" s="2"/>
      <c r="AP148" s="2">
        <v>364.5</v>
      </c>
      <c r="AQ148" s="2" t="s">
        <v>218</v>
      </c>
    </row>
    <row r="149" spans="1:43" ht="98">
      <c r="A149" s="2" t="s">
        <v>21</v>
      </c>
      <c r="B149" s="2" t="s">
        <v>1112</v>
      </c>
      <c r="C149" s="2" t="s">
        <v>545</v>
      </c>
      <c r="D149" s="2" t="s">
        <v>213</v>
      </c>
      <c r="E149" s="2" t="s">
        <v>185</v>
      </c>
      <c r="F149" s="2" t="s">
        <v>546</v>
      </c>
      <c r="G149" s="2" t="s">
        <v>1113</v>
      </c>
      <c r="H149" s="2">
        <v>1</v>
      </c>
      <c r="I149" s="2" t="s">
        <v>1114</v>
      </c>
      <c r="J149" s="2"/>
      <c r="K149" s="2">
        <v>1</v>
      </c>
      <c r="L149" s="2"/>
      <c r="M149" s="2" t="s">
        <v>12</v>
      </c>
      <c r="N149" s="2"/>
      <c r="O149" s="2"/>
      <c r="P149" s="2"/>
      <c r="Q149" s="2"/>
      <c r="R149" s="2"/>
      <c r="S149" s="2"/>
      <c r="T149" s="2"/>
      <c r="U149" s="2" t="s">
        <v>549</v>
      </c>
      <c r="V149" s="2"/>
      <c r="W149" s="2"/>
      <c r="X149" s="2"/>
      <c r="Y149" s="2"/>
      <c r="Z149" s="2"/>
      <c r="AA149" s="2"/>
      <c r="AB149" s="2"/>
      <c r="AC149" s="2"/>
      <c r="AD149" s="2"/>
      <c r="AE149" s="2"/>
      <c r="AF149" s="2"/>
      <c r="AG149" s="2" t="s">
        <v>15</v>
      </c>
      <c r="AH149" s="2"/>
      <c r="AI149" s="2" t="s">
        <v>1085</v>
      </c>
      <c r="AJ149" s="2" t="s">
        <v>1086</v>
      </c>
      <c r="AK149" s="2" t="s">
        <v>1087</v>
      </c>
      <c r="AL149" s="2" t="s">
        <v>1088</v>
      </c>
      <c r="AM149" s="2"/>
      <c r="AN149" s="2"/>
      <c r="AO149" s="2"/>
      <c r="AP149" s="2">
        <v>15.5</v>
      </c>
      <c r="AQ149" s="2" t="s">
        <v>218</v>
      </c>
    </row>
    <row r="150" spans="1:43" ht="56">
      <c r="A150" s="2" t="s">
        <v>21</v>
      </c>
      <c r="B150" s="2" t="s">
        <v>399</v>
      </c>
      <c r="C150" s="2" t="s">
        <v>545</v>
      </c>
      <c r="D150" s="2" t="s">
        <v>213</v>
      </c>
      <c r="E150" s="2" t="s">
        <v>889</v>
      </c>
      <c r="F150" s="2" t="s">
        <v>546</v>
      </c>
      <c r="G150" s="2" t="s">
        <v>1115</v>
      </c>
      <c r="H150" s="2"/>
      <c r="I150" s="2" t="s">
        <v>1116</v>
      </c>
      <c r="J150" s="2"/>
      <c r="K150" s="2" t="s">
        <v>1117</v>
      </c>
      <c r="L150" s="2"/>
      <c r="M150" s="2" t="s">
        <v>1118</v>
      </c>
      <c r="N150" s="2"/>
      <c r="O150" s="2"/>
      <c r="P150" s="2"/>
      <c r="Q150" s="2"/>
      <c r="R150" s="2"/>
      <c r="S150" s="2"/>
      <c r="T150" s="2"/>
      <c r="U150" s="2" t="s">
        <v>549</v>
      </c>
      <c r="V150" s="2"/>
      <c r="W150" s="2"/>
      <c r="X150" s="2"/>
      <c r="Y150" s="2"/>
      <c r="Z150" s="2"/>
      <c r="AA150" s="2"/>
      <c r="AB150" s="2"/>
      <c r="AC150" s="2"/>
      <c r="AD150" s="2"/>
      <c r="AE150" s="2"/>
      <c r="AF150" s="2"/>
      <c r="AG150" s="2" t="s">
        <v>1119</v>
      </c>
      <c r="AH150" s="2"/>
      <c r="AI150" s="2" t="s">
        <v>1120</v>
      </c>
      <c r="AJ150" s="2" t="s">
        <v>1119</v>
      </c>
      <c r="AK150" s="2" t="s">
        <v>1121</v>
      </c>
      <c r="AL150" s="2" t="s">
        <v>1122</v>
      </c>
      <c r="AM150" s="2"/>
      <c r="AN150" s="2"/>
      <c r="AO150" s="2"/>
      <c r="AP150" s="2">
        <v>0</v>
      </c>
      <c r="AQ150" s="2" t="s">
        <v>218</v>
      </c>
    </row>
    <row r="151" spans="1:43" ht="42">
      <c r="A151" s="2" t="s">
        <v>21</v>
      </c>
      <c r="B151" s="2" t="s">
        <v>1123</v>
      </c>
      <c r="C151" s="2" t="s">
        <v>545</v>
      </c>
      <c r="D151" s="2" t="s">
        <v>213</v>
      </c>
      <c r="E151" s="2" t="s">
        <v>193</v>
      </c>
      <c r="F151" s="2" t="s">
        <v>572</v>
      </c>
      <c r="G151" s="2" t="s">
        <v>1124</v>
      </c>
      <c r="H151" s="2">
        <v>2</v>
      </c>
      <c r="I151" s="2" t="s">
        <v>1125</v>
      </c>
      <c r="J151" s="2"/>
      <c r="K151" s="2">
        <v>2</v>
      </c>
      <c r="L151" s="2"/>
      <c r="M151" s="2" t="s">
        <v>12</v>
      </c>
      <c r="N151" s="2"/>
      <c r="O151" s="2"/>
      <c r="P151" s="2"/>
      <c r="Q151" s="2"/>
      <c r="R151" s="2"/>
      <c r="S151" s="2"/>
      <c r="T151" s="2"/>
      <c r="U151" s="2" t="s">
        <v>549</v>
      </c>
      <c r="V151" s="2"/>
      <c r="W151" s="2"/>
      <c r="X151" s="2"/>
      <c r="Y151" s="2"/>
      <c r="Z151" s="2"/>
      <c r="AA151" s="2"/>
      <c r="AB151" s="2"/>
      <c r="AC151" s="2"/>
      <c r="AD151" s="2"/>
      <c r="AE151" s="2"/>
      <c r="AF151" s="2"/>
      <c r="AG151" s="2" t="s">
        <v>12</v>
      </c>
      <c r="AH151" s="2"/>
      <c r="AI151" s="2" t="s">
        <v>1106</v>
      </c>
      <c r="AJ151" s="2" t="s">
        <v>12</v>
      </c>
      <c r="AK151" s="2" t="s">
        <v>1126</v>
      </c>
      <c r="AL151" s="2" t="s">
        <v>1127</v>
      </c>
      <c r="AM151" s="2"/>
      <c r="AN151" s="2"/>
      <c r="AO151" s="2"/>
      <c r="AP151" s="2">
        <v>0.4</v>
      </c>
      <c r="AQ151" s="2" t="s">
        <v>218</v>
      </c>
    </row>
    <row r="152" spans="1:43" ht="56">
      <c r="A152" s="2" t="s">
        <v>21</v>
      </c>
      <c r="B152" s="2" t="s">
        <v>1128</v>
      </c>
      <c r="C152" s="2" t="s">
        <v>545</v>
      </c>
      <c r="D152" s="2" t="s">
        <v>213</v>
      </c>
      <c r="E152" s="2" t="s">
        <v>193</v>
      </c>
      <c r="F152" s="2" t="s">
        <v>562</v>
      </c>
      <c r="G152" s="2" t="s">
        <v>1129</v>
      </c>
      <c r="H152" s="2">
        <v>8</v>
      </c>
      <c r="I152" s="2" t="s">
        <v>1130</v>
      </c>
      <c r="J152" s="2"/>
      <c r="K152" s="2">
        <v>8</v>
      </c>
      <c r="L152" s="2"/>
      <c r="M152" s="2" t="s">
        <v>12</v>
      </c>
      <c r="N152" s="2"/>
      <c r="O152" s="2"/>
      <c r="P152" s="2"/>
      <c r="Q152" s="2"/>
      <c r="R152" s="2"/>
      <c r="S152" s="2"/>
      <c r="T152" s="2"/>
      <c r="U152" s="2" t="s">
        <v>549</v>
      </c>
      <c r="V152" s="2"/>
      <c r="W152" s="2"/>
      <c r="X152" s="2"/>
      <c r="Y152" s="2"/>
      <c r="Z152" s="2"/>
      <c r="AA152" s="2"/>
      <c r="AB152" s="2"/>
      <c r="AC152" s="2"/>
      <c r="AD152" s="2"/>
      <c r="AE152" s="2"/>
      <c r="AF152" s="2"/>
      <c r="AG152" s="2" t="s">
        <v>15</v>
      </c>
      <c r="AH152" s="2"/>
      <c r="AI152" s="2" t="s">
        <v>1085</v>
      </c>
      <c r="AJ152" s="2" t="s">
        <v>1086</v>
      </c>
      <c r="AK152" s="2" t="s">
        <v>1087</v>
      </c>
      <c r="AL152" s="2" t="s">
        <v>1088</v>
      </c>
      <c r="AM152" s="2"/>
      <c r="AN152" s="2"/>
      <c r="AO152" s="2"/>
      <c r="AP152" s="2">
        <v>0.4</v>
      </c>
      <c r="AQ152" s="2" t="s">
        <v>218</v>
      </c>
    </row>
    <row r="153" spans="1:43" ht="42">
      <c r="A153" s="2" t="s">
        <v>21</v>
      </c>
      <c r="B153" s="2" t="s">
        <v>1131</v>
      </c>
      <c r="C153" s="2" t="s">
        <v>545</v>
      </c>
      <c r="D153" s="2" t="s">
        <v>213</v>
      </c>
      <c r="E153" s="2" t="s">
        <v>233</v>
      </c>
      <c r="F153" s="2" t="s">
        <v>562</v>
      </c>
      <c r="G153" s="2" t="s">
        <v>1132</v>
      </c>
      <c r="H153" s="2">
        <v>1</v>
      </c>
      <c r="I153" s="2" t="s">
        <v>1133</v>
      </c>
      <c r="J153" s="2"/>
      <c r="K153" s="2" t="s">
        <v>1134</v>
      </c>
      <c r="L153" s="2"/>
      <c r="M153" s="2" t="s">
        <v>1118</v>
      </c>
      <c r="N153" s="2"/>
      <c r="O153" s="2"/>
      <c r="P153" s="2"/>
      <c r="Q153" s="2"/>
      <c r="R153" s="2"/>
      <c r="S153" s="2"/>
      <c r="T153" s="2"/>
      <c r="U153" s="2" t="s">
        <v>549</v>
      </c>
      <c r="V153" s="2"/>
      <c r="W153" s="2"/>
      <c r="X153" s="2"/>
      <c r="Y153" s="2"/>
      <c r="Z153" s="2"/>
      <c r="AA153" s="2"/>
      <c r="AB153" s="2"/>
      <c r="AC153" s="2"/>
      <c r="AD153" s="2"/>
      <c r="AE153" s="2"/>
      <c r="AF153" s="2"/>
      <c r="AG153" s="2" t="s">
        <v>15</v>
      </c>
      <c r="AH153" s="2"/>
      <c r="AI153" s="2" t="s">
        <v>1085</v>
      </c>
      <c r="AJ153" s="2" t="s">
        <v>1086</v>
      </c>
      <c r="AK153" s="2" t="s">
        <v>1087</v>
      </c>
      <c r="AL153" s="2" t="s">
        <v>1135</v>
      </c>
      <c r="AM153" s="2"/>
      <c r="AN153" s="2"/>
      <c r="AO153" s="2"/>
      <c r="AP153" s="2">
        <v>1.5</v>
      </c>
      <c r="AQ153" s="2" t="s">
        <v>218</v>
      </c>
    </row>
    <row r="154" spans="1:43" ht="56">
      <c r="A154" s="2" t="s">
        <v>21</v>
      </c>
      <c r="B154" s="2" t="s">
        <v>1136</v>
      </c>
      <c r="C154" s="2" t="s">
        <v>545</v>
      </c>
      <c r="D154" s="2" t="s">
        <v>213</v>
      </c>
      <c r="E154" s="2" t="s">
        <v>193</v>
      </c>
      <c r="F154" s="2" t="s">
        <v>562</v>
      </c>
      <c r="G154" s="2" t="s">
        <v>1137</v>
      </c>
      <c r="H154" s="2">
        <v>2</v>
      </c>
      <c r="I154" s="2" t="s">
        <v>1138</v>
      </c>
      <c r="J154" s="2"/>
      <c r="K154" s="2">
        <v>2</v>
      </c>
      <c r="L154" s="2"/>
      <c r="M154" s="2" t="s">
        <v>12</v>
      </c>
      <c r="N154" s="2"/>
      <c r="O154" s="2"/>
      <c r="P154" s="2"/>
      <c r="Q154" s="2"/>
      <c r="R154" s="2"/>
      <c r="S154" s="2"/>
      <c r="T154" s="2"/>
      <c r="U154" s="2" t="s">
        <v>549</v>
      </c>
      <c r="V154" s="2"/>
      <c r="W154" s="2"/>
      <c r="X154" s="2"/>
      <c r="Y154" s="2"/>
      <c r="Z154" s="2"/>
      <c r="AA154" s="2"/>
      <c r="AB154" s="2"/>
      <c r="AC154" s="2"/>
      <c r="AD154" s="2"/>
      <c r="AE154" s="2"/>
      <c r="AF154" s="2"/>
      <c r="AG154" s="2" t="s">
        <v>15</v>
      </c>
      <c r="AH154" s="2"/>
      <c r="AI154" s="2" t="s">
        <v>1085</v>
      </c>
      <c r="AJ154" s="2" t="s">
        <v>1086</v>
      </c>
      <c r="AK154" s="2" t="s">
        <v>1087</v>
      </c>
      <c r="AL154" s="2" t="s">
        <v>1088</v>
      </c>
      <c r="AM154" s="2"/>
      <c r="AN154" s="2"/>
      <c r="AO154" s="2"/>
      <c r="AP154" s="2">
        <v>0</v>
      </c>
      <c r="AQ154" s="2" t="s">
        <v>218</v>
      </c>
    </row>
    <row r="155" spans="1:43" ht="56">
      <c r="A155" s="2" t="s">
        <v>21</v>
      </c>
      <c r="B155" s="2" t="s">
        <v>1139</v>
      </c>
      <c r="C155" s="2" t="s">
        <v>545</v>
      </c>
      <c r="D155" s="2" t="s">
        <v>1140</v>
      </c>
      <c r="E155" s="2" t="s">
        <v>200</v>
      </c>
      <c r="F155" s="2" t="s">
        <v>562</v>
      </c>
      <c r="G155" s="2" t="s">
        <v>1141</v>
      </c>
      <c r="H155" s="2">
        <v>1</v>
      </c>
      <c r="I155" s="2" t="s">
        <v>1142</v>
      </c>
      <c r="J155" s="2"/>
      <c r="K155" s="2">
        <v>1</v>
      </c>
      <c r="L155" s="2"/>
      <c r="M155" s="2" t="s">
        <v>12</v>
      </c>
      <c r="N155" s="2"/>
      <c r="O155" s="2"/>
      <c r="P155" s="2"/>
      <c r="Q155" s="2"/>
      <c r="R155" s="2"/>
      <c r="S155" s="2"/>
      <c r="T155" s="2"/>
      <c r="U155" s="2" t="s">
        <v>549</v>
      </c>
      <c r="V155" s="2"/>
      <c r="W155" s="2"/>
      <c r="X155" s="2"/>
      <c r="Y155" s="2"/>
      <c r="Z155" s="2"/>
      <c r="AA155" s="2"/>
      <c r="AB155" s="2"/>
      <c r="AC155" s="2"/>
      <c r="AD155" s="2"/>
      <c r="AE155" s="2"/>
      <c r="AF155" s="2"/>
      <c r="AG155" s="2" t="s">
        <v>12</v>
      </c>
      <c r="AH155" s="2"/>
      <c r="AI155" s="2" t="s">
        <v>1106</v>
      </c>
      <c r="AJ155" s="2" t="s">
        <v>12</v>
      </c>
      <c r="AK155" s="2" t="s">
        <v>1143</v>
      </c>
      <c r="AL155" s="2" t="s">
        <v>1127</v>
      </c>
      <c r="AM155" s="2"/>
      <c r="AN155" s="2"/>
      <c r="AO155" s="2"/>
      <c r="AP155" s="2">
        <v>10.8</v>
      </c>
      <c r="AQ155" s="2" t="s">
        <v>218</v>
      </c>
    </row>
    <row r="156" spans="1:43" ht="56">
      <c r="A156" s="2" t="s">
        <v>21</v>
      </c>
      <c r="B156" s="2" t="s">
        <v>1144</v>
      </c>
      <c r="C156" s="2" t="s">
        <v>545</v>
      </c>
      <c r="D156" s="2" t="s">
        <v>1140</v>
      </c>
      <c r="E156" s="2" t="s">
        <v>185</v>
      </c>
      <c r="F156" s="2" t="s">
        <v>546</v>
      </c>
      <c r="G156" s="2" t="s">
        <v>1145</v>
      </c>
      <c r="H156" s="2">
        <v>10</v>
      </c>
      <c r="I156" s="2" t="s">
        <v>1146</v>
      </c>
      <c r="J156" s="2"/>
      <c r="K156" s="2">
        <v>10</v>
      </c>
      <c r="L156" s="2"/>
      <c r="M156" s="2" t="s">
        <v>12</v>
      </c>
      <c r="N156" s="2"/>
      <c r="O156" s="2"/>
      <c r="P156" s="2"/>
      <c r="Q156" s="2"/>
      <c r="R156" s="2"/>
      <c r="S156" s="2"/>
      <c r="T156" s="2"/>
      <c r="U156" s="2" t="s">
        <v>549</v>
      </c>
      <c r="V156" s="2"/>
      <c r="W156" s="2"/>
      <c r="X156" s="2"/>
      <c r="Y156" s="2"/>
      <c r="Z156" s="2"/>
      <c r="AA156" s="2"/>
      <c r="AB156" s="2"/>
      <c r="AC156" s="2"/>
      <c r="AD156" s="2"/>
      <c r="AE156" s="2"/>
      <c r="AF156" s="2"/>
      <c r="AG156" s="2" t="s">
        <v>15</v>
      </c>
      <c r="AH156" s="2"/>
      <c r="AI156" s="2" t="s">
        <v>1085</v>
      </c>
      <c r="AJ156" s="2" t="s">
        <v>1086</v>
      </c>
      <c r="AK156" s="2" t="s">
        <v>1087</v>
      </c>
      <c r="AL156" s="2" t="s">
        <v>1088</v>
      </c>
      <c r="AM156" s="2"/>
      <c r="AN156" s="2"/>
      <c r="AO156" s="2"/>
      <c r="AP156" s="2">
        <v>15</v>
      </c>
      <c r="AQ156" s="2" t="s">
        <v>218</v>
      </c>
    </row>
    <row r="157" spans="1:43" ht="56">
      <c r="A157" s="2" t="s">
        <v>21</v>
      </c>
      <c r="B157" s="2" t="s">
        <v>1147</v>
      </c>
      <c r="C157" s="2" t="s">
        <v>545</v>
      </c>
      <c r="D157" s="2" t="s">
        <v>1140</v>
      </c>
      <c r="E157" s="2" t="s">
        <v>185</v>
      </c>
      <c r="F157" s="2" t="s">
        <v>546</v>
      </c>
      <c r="G157" s="2" t="s">
        <v>1148</v>
      </c>
      <c r="H157" s="2">
        <v>10</v>
      </c>
      <c r="I157" s="2" t="s">
        <v>1149</v>
      </c>
      <c r="J157" s="2"/>
      <c r="K157" s="2">
        <v>10</v>
      </c>
      <c r="L157" s="2"/>
      <c r="M157" s="2" t="s">
        <v>12</v>
      </c>
      <c r="N157" s="2"/>
      <c r="O157" s="2"/>
      <c r="P157" s="2"/>
      <c r="Q157" s="2"/>
      <c r="R157" s="2"/>
      <c r="S157" s="2"/>
      <c r="T157" s="2"/>
      <c r="U157" s="2" t="s">
        <v>549</v>
      </c>
      <c r="V157" s="2"/>
      <c r="W157" s="2"/>
      <c r="X157" s="2"/>
      <c r="Y157" s="2"/>
      <c r="Z157" s="2"/>
      <c r="AA157" s="2"/>
      <c r="AB157" s="2"/>
      <c r="AC157" s="2"/>
      <c r="AD157" s="2"/>
      <c r="AE157" s="2"/>
      <c r="AF157" s="2"/>
      <c r="AG157" s="2" t="s">
        <v>15</v>
      </c>
      <c r="AH157" s="2"/>
      <c r="AI157" s="2" t="s">
        <v>1085</v>
      </c>
      <c r="AJ157" s="2" t="s">
        <v>1086</v>
      </c>
      <c r="AK157" s="2" t="s">
        <v>1087</v>
      </c>
      <c r="AL157" s="2" t="s">
        <v>1150</v>
      </c>
      <c r="AM157" s="2"/>
      <c r="AN157" s="2"/>
      <c r="AO157" s="2"/>
      <c r="AP157" s="2">
        <v>8.6</v>
      </c>
      <c r="AQ157" s="2" t="s">
        <v>218</v>
      </c>
    </row>
    <row r="158" spans="1:43" ht="56">
      <c r="A158" s="2" t="s">
        <v>21</v>
      </c>
      <c r="B158" s="2" t="s">
        <v>1151</v>
      </c>
      <c r="C158" s="2" t="s">
        <v>545</v>
      </c>
      <c r="D158" s="2" t="s">
        <v>1140</v>
      </c>
      <c r="E158" s="2" t="s">
        <v>193</v>
      </c>
      <c r="F158" s="2" t="s">
        <v>546</v>
      </c>
      <c r="G158" s="2" t="s">
        <v>1152</v>
      </c>
      <c r="H158" s="2">
        <v>1</v>
      </c>
      <c r="I158" s="2" t="s">
        <v>1153</v>
      </c>
      <c r="J158" s="2"/>
      <c r="K158" s="2">
        <v>1</v>
      </c>
      <c r="L158" s="2"/>
      <c r="M158" s="2" t="s">
        <v>12</v>
      </c>
      <c r="N158" s="2"/>
      <c r="O158" s="2"/>
      <c r="P158" s="2"/>
      <c r="Q158" s="2"/>
      <c r="R158" s="2"/>
      <c r="S158" s="2"/>
      <c r="T158" s="2"/>
      <c r="U158" s="2" t="s">
        <v>549</v>
      </c>
      <c r="V158" s="2"/>
      <c r="W158" s="2"/>
      <c r="X158" s="2"/>
      <c r="Y158" s="2"/>
      <c r="Z158" s="2"/>
      <c r="AA158" s="2"/>
      <c r="AB158" s="2"/>
      <c r="AC158" s="2"/>
      <c r="AD158" s="2"/>
      <c r="AE158" s="2"/>
      <c r="AF158" s="2"/>
      <c r="AG158" s="2" t="s">
        <v>15</v>
      </c>
      <c r="AH158" s="2"/>
      <c r="AI158" s="2" t="s">
        <v>1085</v>
      </c>
      <c r="AJ158" s="2" t="s">
        <v>1086</v>
      </c>
      <c r="AK158" s="2" t="s">
        <v>1087</v>
      </c>
      <c r="AL158" s="2" t="s">
        <v>1088</v>
      </c>
      <c r="AM158" s="2"/>
      <c r="AN158" s="2"/>
      <c r="AO158" s="2"/>
      <c r="AP158" s="2">
        <v>0.4</v>
      </c>
      <c r="AQ158" s="2" t="s">
        <v>218</v>
      </c>
    </row>
    <row r="159" spans="1:43" ht="56">
      <c r="A159" s="2" t="s">
        <v>21</v>
      </c>
      <c r="B159" s="2" t="s">
        <v>1154</v>
      </c>
      <c r="C159" s="2" t="s">
        <v>545</v>
      </c>
      <c r="D159" s="2" t="s">
        <v>1140</v>
      </c>
      <c r="E159" s="2" t="s">
        <v>185</v>
      </c>
      <c r="F159" s="2" t="s">
        <v>546</v>
      </c>
      <c r="G159" s="2" t="s">
        <v>1155</v>
      </c>
      <c r="H159" s="2">
        <v>9</v>
      </c>
      <c r="I159" s="2" t="s">
        <v>1156</v>
      </c>
      <c r="J159" s="2"/>
      <c r="K159" s="2">
        <v>9</v>
      </c>
      <c r="L159" s="2"/>
      <c r="M159" s="2" t="s">
        <v>12</v>
      </c>
      <c r="N159" s="2"/>
      <c r="O159" s="2"/>
      <c r="P159" s="2"/>
      <c r="Q159" s="2"/>
      <c r="R159" s="2"/>
      <c r="S159" s="2"/>
      <c r="T159" s="2"/>
      <c r="U159" s="2" t="s">
        <v>549</v>
      </c>
      <c r="V159" s="2"/>
      <c r="W159" s="2"/>
      <c r="X159" s="2"/>
      <c r="Y159" s="2"/>
      <c r="Z159" s="2"/>
      <c r="AA159" s="2"/>
      <c r="AB159" s="2"/>
      <c r="AC159" s="2"/>
      <c r="AD159" s="2"/>
      <c r="AE159" s="2"/>
      <c r="AF159" s="2"/>
      <c r="AG159" s="2" t="s">
        <v>15</v>
      </c>
      <c r="AH159" s="2"/>
      <c r="AI159" s="2" t="s">
        <v>1085</v>
      </c>
      <c r="AJ159" s="2" t="s">
        <v>1086</v>
      </c>
      <c r="AK159" s="2" t="s">
        <v>1087</v>
      </c>
      <c r="AL159" s="2" t="s">
        <v>1088</v>
      </c>
      <c r="AM159" s="2"/>
      <c r="AN159" s="2"/>
      <c r="AO159" s="2"/>
      <c r="AP159" s="2">
        <v>11.5</v>
      </c>
      <c r="AQ159" s="2" t="s">
        <v>218</v>
      </c>
    </row>
    <row r="160" spans="1:43" ht="56">
      <c r="A160" s="2" t="s">
        <v>21</v>
      </c>
      <c r="B160" s="2" t="s">
        <v>1157</v>
      </c>
      <c r="C160" s="2" t="s">
        <v>545</v>
      </c>
      <c r="D160" s="2" t="s">
        <v>1140</v>
      </c>
      <c r="E160" s="2" t="s">
        <v>185</v>
      </c>
      <c r="F160" s="2" t="s">
        <v>546</v>
      </c>
      <c r="G160" s="2" t="s">
        <v>1158</v>
      </c>
      <c r="H160" s="2">
        <v>15</v>
      </c>
      <c r="I160" s="2" t="s">
        <v>1159</v>
      </c>
      <c r="J160" s="2"/>
      <c r="K160" s="2">
        <v>15</v>
      </c>
      <c r="L160" s="2"/>
      <c r="M160" s="2" t="s">
        <v>12</v>
      </c>
      <c r="N160" s="2"/>
      <c r="O160" s="2"/>
      <c r="P160" s="2"/>
      <c r="Q160" s="2"/>
      <c r="R160" s="2"/>
      <c r="S160" s="2"/>
      <c r="T160" s="2"/>
      <c r="U160" s="2" t="s">
        <v>549</v>
      </c>
      <c r="V160" s="2"/>
      <c r="W160" s="2"/>
      <c r="X160" s="2"/>
      <c r="Y160" s="2"/>
      <c r="Z160" s="2"/>
      <c r="AA160" s="2"/>
      <c r="AB160" s="2"/>
      <c r="AC160" s="2"/>
      <c r="AD160" s="2"/>
      <c r="AE160" s="2"/>
      <c r="AF160" s="2"/>
      <c r="AG160" s="2" t="s">
        <v>15</v>
      </c>
      <c r="AH160" s="2"/>
      <c r="AI160" s="2" t="s">
        <v>1085</v>
      </c>
      <c r="AJ160" s="2" t="s">
        <v>1086</v>
      </c>
      <c r="AK160" s="2" t="s">
        <v>1087</v>
      </c>
      <c r="AL160" s="2" t="s">
        <v>1088</v>
      </c>
      <c r="AM160" s="2"/>
      <c r="AN160" s="2"/>
      <c r="AO160" s="2"/>
      <c r="AP160" s="2">
        <v>14.4</v>
      </c>
      <c r="AQ160" s="2" t="s">
        <v>218</v>
      </c>
    </row>
    <row r="161" spans="1:43" ht="56">
      <c r="A161" s="2" t="s">
        <v>21</v>
      </c>
      <c r="B161" s="2" t="s">
        <v>1160</v>
      </c>
      <c r="C161" s="2" t="s">
        <v>545</v>
      </c>
      <c r="D161" s="2" t="s">
        <v>1140</v>
      </c>
      <c r="E161" s="2" t="s">
        <v>193</v>
      </c>
      <c r="F161" s="2" t="s">
        <v>572</v>
      </c>
      <c r="G161" s="2" t="s">
        <v>1161</v>
      </c>
      <c r="H161" s="2">
        <v>1</v>
      </c>
      <c r="I161" s="2" t="s">
        <v>1162</v>
      </c>
      <c r="J161" s="2"/>
      <c r="K161" s="2">
        <v>1</v>
      </c>
      <c r="L161" s="2"/>
      <c r="M161" s="2" t="s">
        <v>12</v>
      </c>
      <c r="N161" s="2"/>
      <c r="O161" s="2"/>
      <c r="P161" s="2"/>
      <c r="Q161" s="2"/>
      <c r="R161" s="2"/>
      <c r="S161" s="2"/>
      <c r="T161" s="2"/>
      <c r="U161" s="2" t="s">
        <v>549</v>
      </c>
      <c r="V161" s="2"/>
      <c r="W161" s="2"/>
      <c r="X161" s="2"/>
      <c r="Y161" s="2"/>
      <c r="Z161" s="2"/>
      <c r="AA161" s="2"/>
      <c r="AB161" s="2"/>
      <c r="AC161" s="2"/>
      <c r="AD161" s="2"/>
      <c r="AE161" s="2"/>
      <c r="AF161" s="2"/>
      <c r="AG161" s="2" t="s">
        <v>15</v>
      </c>
      <c r="AH161" s="2"/>
      <c r="AI161" s="2" t="s">
        <v>1085</v>
      </c>
      <c r="AJ161" s="2" t="s">
        <v>1086</v>
      </c>
      <c r="AK161" s="2" t="s">
        <v>1087</v>
      </c>
      <c r="AL161" s="2" t="s">
        <v>1088</v>
      </c>
      <c r="AM161" s="2"/>
      <c r="AN161" s="2"/>
      <c r="AO161" s="2"/>
      <c r="AP161" s="2">
        <v>144.9</v>
      </c>
      <c r="AQ161" s="2" t="s">
        <v>218</v>
      </c>
    </row>
    <row r="162" spans="1:43" ht="56">
      <c r="A162" s="2" t="s">
        <v>21</v>
      </c>
      <c r="B162" s="2" t="s">
        <v>1163</v>
      </c>
      <c r="C162" s="2" t="s">
        <v>545</v>
      </c>
      <c r="D162" s="2" t="s">
        <v>1140</v>
      </c>
      <c r="E162" s="2" t="s">
        <v>193</v>
      </c>
      <c r="F162" s="2" t="s">
        <v>562</v>
      </c>
      <c r="G162" s="2" t="s">
        <v>1164</v>
      </c>
      <c r="H162" s="2">
        <v>12</v>
      </c>
      <c r="I162" s="2" t="s">
        <v>1165</v>
      </c>
      <c r="J162" s="2"/>
      <c r="K162" s="2">
        <v>12</v>
      </c>
      <c r="L162" s="2"/>
      <c r="M162" s="2" t="s">
        <v>12</v>
      </c>
      <c r="N162" s="2"/>
      <c r="O162" s="2"/>
      <c r="P162" s="2"/>
      <c r="Q162" s="2"/>
      <c r="R162" s="2"/>
      <c r="S162" s="2"/>
      <c r="T162" s="2"/>
      <c r="U162" s="2" t="s">
        <v>549</v>
      </c>
      <c r="V162" s="2"/>
      <c r="W162" s="2"/>
      <c r="X162" s="2"/>
      <c r="Y162" s="2"/>
      <c r="Z162" s="2"/>
      <c r="AA162" s="2"/>
      <c r="AB162" s="2"/>
      <c r="AC162" s="2"/>
      <c r="AD162" s="2"/>
      <c r="AE162" s="2"/>
      <c r="AF162" s="2"/>
      <c r="AG162" s="2" t="s">
        <v>15</v>
      </c>
      <c r="AH162" s="2"/>
      <c r="AI162" s="2" t="s">
        <v>1085</v>
      </c>
      <c r="AJ162" s="2" t="s">
        <v>1086</v>
      </c>
      <c r="AK162" s="2" t="s">
        <v>1087</v>
      </c>
      <c r="AL162" s="2" t="s">
        <v>1088</v>
      </c>
      <c r="AM162" s="2"/>
      <c r="AN162" s="2"/>
      <c r="AO162" s="2"/>
      <c r="AP162" s="2">
        <v>0.3</v>
      </c>
      <c r="AQ162" s="2" t="s">
        <v>218</v>
      </c>
    </row>
    <row r="163" spans="1:43" ht="56">
      <c r="A163" s="2" t="s">
        <v>21</v>
      </c>
      <c r="B163" s="2" t="s">
        <v>1166</v>
      </c>
      <c r="C163" s="2" t="s">
        <v>545</v>
      </c>
      <c r="D163" s="2" t="s">
        <v>1140</v>
      </c>
      <c r="E163" s="2" t="s">
        <v>193</v>
      </c>
      <c r="F163" s="2" t="s">
        <v>572</v>
      </c>
      <c r="G163" s="2" t="s">
        <v>1167</v>
      </c>
      <c r="H163" s="2">
        <v>1</v>
      </c>
      <c r="I163" s="2" t="s">
        <v>1168</v>
      </c>
      <c r="J163" s="2"/>
      <c r="K163" s="2">
        <v>1</v>
      </c>
      <c r="L163" s="2"/>
      <c r="M163" s="2" t="s">
        <v>12</v>
      </c>
      <c r="N163" s="2"/>
      <c r="O163" s="2"/>
      <c r="P163" s="2"/>
      <c r="Q163" s="2"/>
      <c r="R163" s="2"/>
      <c r="S163" s="2"/>
      <c r="T163" s="2"/>
      <c r="U163" s="2" t="s">
        <v>549</v>
      </c>
      <c r="V163" s="2"/>
      <c r="W163" s="2"/>
      <c r="X163" s="2"/>
      <c r="Y163" s="2"/>
      <c r="Z163" s="2"/>
      <c r="AA163" s="2"/>
      <c r="AB163" s="2"/>
      <c r="AC163" s="2"/>
      <c r="AD163" s="2"/>
      <c r="AE163" s="2"/>
      <c r="AF163" s="2"/>
      <c r="AG163" s="2" t="s">
        <v>15</v>
      </c>
      <c r="AH163" s="2"/>
      <c r="AI163" s="2" t="s">
        <v>1085</v>
      </c>
      <c r="AJ163" s="2" t="s">
        <v>1086</v>
      </c>
      <c r="AK163" s="2" t="s">
        <v>1087</v>
      </c>
      <c r="AL163" s="2" t="s">
        <v>1088</v>
      </c>
      <c r="AM163" s="2"/>
      <c r="AN163" s="2"/>
      <c r="AO163" s="2"/>
      <c r="AP163" s="2">
        <v>1.9</v>
      </c>
      <c r="AQ163" s="2" t="s">
        <v>218</v>
      </c>
    </row>
    <row r="164" spans="1:43" ht="42">
      <c r="A164" s="2" t="s">
        <v>21</v>
      </c>
      <c r="B164" s="2" t="s">
        <v>1169</v>
      </c>
      <c r="C164" s="2" t="s">
        <v>545</v>
      </c>
      <c r="D164" s="2" t="s">
        <v>1170</v>
      </c>
      <c r="E164" s="2" t="s">
        <v>233</v>
      </c>
      <c r="F164" s="2" t="s">
        <v>546</v>
      </c>
      <c r="G164" s="2" t="s">
        <v>1171</v>
      </c>
      <c r="H164" s="2">
        <v>1</v>
      </c>
      <c r="I164" s="2" t="s">
        <v>1172</v>
      </c>
      <c r="J164" s="2"/>
      <c r="K164" s="2" t="s">
        <v>1134</v>
      </c>
      <c r="L164" s="2"/>
      <c r="M164" s="2" t="s">
        <v>1118</v>
      </c>
      <c r="N164" s="2"/>
      <c r="O164" s="2"/>
      <c r="P164" s="2"/>
      <c r="Q164" s="2"/>
      <c r="R164" s="2"/>
      <c r="S164" s="2"/>
      <c r="T164" s="2"/>
      <c r="U164" s="2" t="s">
        <v>549</v>
      </c>
      <c r="V164" s="2"/>
      <c r="W164" s="2"/>
      <c r="X164" s="2"/>
      <c r="Y164" s="2"/>
      <c r="Z164" s="2"/>
      <c r="AA164" s="2"/>
      <c r="AB164" s="2"/>
      <c r="AC164" s="2"/>
      <c r="AD164" s="2"/>
      <c r="AE164" s="2"/>
      <c r="AF164" s="2"/>
      <c r="AG164" s="2" t="s">
        <v>15</v>
      </c>
      <c r="AH164" s="2"/>
      <c r="AI164" s="2" t="s">
        <v>1085</v>
      </c>
      <c r="AJ164" s="2" t="s">
        <v>1086</v>
      </c>
      <c r="AK164" s="2" t="s">
        <v>1087</v>
      </c>
      <c r="AL164" s="2" t="s">
        <v>1135</v>
      </c>
      <c r="AM164" s="2"/>
      <c r="AN164" s="2"/>
      <c r="AO164" s="2"/>
      <c r="AP164" s="2">
        <v>19.3</v>
      </c>
      <c r="AQ164" s="2" t="s">
        <v>218</v>
      </c>
    </row>
    <row r="165" spans="1:43" ht="42">
      <c r="A165" s="2" t="s">
        <v>21</v>
      </c>
      <c r="B165" s="2" t="s">
        <v>1173</v>
      </c>
      <c r="C165" s="2" t="s">
        <v>545</v>
      </c>
      <c r="D165" s="2" t="s">
        <v>1170</v>
      </c>
      <c r="E165" s="2" t="s">
        <v>233</v>
      </c>
      <c r="F165" s="2" t="s">
        <v>546</v>
      </c>
      <c r="G165" s="2" t="s">
        <v>1174</v>
      </c>
      <c r="H165" s="2">
        <v>1</v>
      </c>
      <c r="I165" s="2" t="s">
        <v>1175</v>
      </c>
      <c r="J165" s="2"/>
      <c r="K165" s="2" t="s">
        <v>1134</v>
      </c>
      <c r="L165" s="2"/>
      <c r="M165" s="2" t="s">
        <v>1118</v>
      </c>
      <c r="N165" s="2"/>
      <c r="O165" s="2"/>
      <c r="P165" s="2"/>
      <c r="Q165" s="2"/>
      <c r="R165" s="2"/>
      <c r="S165" s="2"/>
      <c r="T165" s="2"/>
      <c r="U165" s="2" t="s">
        <v>549</v>
      </c>
      <c r="V165" s="2"/>
      <c r="W165" s="2"/>
      <c r="X165" s="2"/>
      <c r="Y165" s="2"/>
      <c r="Z165" s="2"/>
      <c r="AA165" s="2"/>
      <c r="AB165" s="2"/>
      <c r="AC165" s="2"/>
      <c r="AD165" s="2"/>
      <c r="AE165" s="2"/>
      <c r="AF165" s="2"/>
      <c r="AG165" s="2" t="s">
        <v>15</v>
      </c>
      <c r="AH165" s="2"/>
      <c r="AI165" s="2" t="s">
        <v>1085</v>
      </c>
      <c r="AJ165" s="2" t="s">
        <v>1086</v>
      </c>
      <c r="AK165" s="2" t="s">
        <v>1087</v>
      </c>
      <c r="AL165" s="2" t="s">
        <v>1135</v>
      </c>
      <c r="AM165" s="2"/>
      <c r="AN165" s="2"/>
      <c r="AO165" s="2"/>
      <c r="AP165" s="2">
        <v>14.3</v>
      </c>
      <c r="AQ165" s="2" t="s">
        <v>218</v>
      </c>
    </row>
    <row r="166" spans="1:43" ht="42">
      <c r="A166" s="2" t="s">
        <v>21</v>
      </c>
      <c r="B166" s="2" t="s">
        <v>1176</v>
      </c>
      <c r="C166" s="2" t="s">
        <v>545</v>
      </c>
      <c r="D166" s="2" t="s">
        <v>1170</v>
      </c>
      <c r="E166" s="2" t="s">
        <v>233</v>
      </c>
      <c r="F166" s="2" t="s">
        <v>572</v>
      </c>
      <c r="G166" s="2" t="s">
        <v>1177</v>
      </c>
      <c r="H166" s="2">
        <v>1</v>
      </c>
      <c r="I166" s="2" t="s">
        <v>1178</v>
      </c>
      <c r="J166" s="2"/>
      <c r="K166" s="2" t="s">
        <v>1134</v>
      </c>
      <c r="L166" s="2"/>
      <c r="M166" s="2" t="s">
        <v>1118</v>
      </c>
      <c r="N166" s="2"/>
      <c r="O166" s="2"/>
      <c r="P166" s="2"/>
      <c r="Q166" s="2"/>
      <c r="R166" s="2"/>
      <c r="S166" s="2"/>
      <c r="T166" s="2"/>
      <c r="U166" s="2" t="s">
        <v>549</v>
      </c>
      <c r="V166" s="2"/>
      <c r="W166" s="2"/>
      <c r="X166" s="2"/>
      <c r="Y166" s="2"/>
      <c r="Z166" s="2"/>
      <c r="AA166" s="2"/>
      <c r="AB166" s="2"/>
      <c r="AC166" s="2"/>
      <c r="AD166" s="2"/>
      <c r="AE166" s="2"/>
      <c r="AF166" s="2"/>
      <c r="AG166" s="2" t="s">
        <v>15</v>
      </c>
      <c r="AH166" s="2"/>
      <c r="AI166" s="2" t="s">
        <v>1085</v>
      </c>
      <c r="AJ166" s="2" t="s">
        <v>1086</v>
      </c>
      <c r="AK166" s="2" t="s">
        <v>1087</v>
      </c>
      <c r="AL166" s="2" t="s">
        <v>1135</v>
      </c>
      <c r="AM166" s="2"/>
      <c r="AN166" s="2"/>
      <c r="AO166" s="2"/>
      <c r="AP166" s="2">
        <v>8.4</v>
      </c>
      <c r="AQ166" s="2" t="s">
        <v>218</v>
      </c>
    </row>
    <row r="167" spans="1:43" ht="42">
      <c r="A167" s="2" t="s">
        <v>21</v>
      </c>
      <c r="B167" s="2" t="s">
        <v>1179</v>
      </c>
      <c r="C167" s="2" t="s">
        <v>545</v>
      </c>
      <c r="D167" s="2" t="s">
        <v>1170</v>
      </c>
      <c r="E167" s="2" t="s">
        <v>233</v>
      </c>
      <c r="F167" s="2" t="s">
        <v>546</v>
      </c>
      <c r="G167" s="2" t="s">
        <v>1180</v>
      </c>
      <c r="H167" s="2">
        <v>1</v>
      </c>
      <c r="I167" s="2" t="s">
        <v>1181</v>
      </c>
      <c r="J167" s="2"/>
      <c r="K167" s="2" t="s">
        <v>1134</v>
      </c>
      <c r="L167" s="2"/>
      <c r="M167" s="2" t="s">
        <v>1118</v>
      </c>
      <c r="N167" s="2"/>
      <c r="O167" s="2"/>
      <c r="P167" s="2"/>
      <c r="Q167" s="2"/>
      <c r="R167" s="2"/>
      <c r="S167" s="2"/>
      <c r="T167" s="2"/>
      <c r="U167" s="2" t="s">
        <v>549</v>
      </c>
      <c r="V167" s="2"/>
      <c r="W167" s="2"/>
      <c r="X167" s="2"/>
      <c r="Y167" s="2"/>
      <c r="Z167" s="2"/>
      <c r="AA167" s="2"/>
      <c r="AB167" s="2"/>
      <c r="AC167" s="2"/>
      <c r="AD167" s="2"/>
      <c r="AE167" s="2"/>
      <c r="AF167" s="2"/>
      <c r="AG167" s="2" t="s">
        <v>15</v>
      </c>
      <c r="AH167" s="2"/>
      <c r="AI167" s="2" t="s">
        <v>1085</v>
      </c>
      <c r="AJ167" s="2" t="s">
        <v>1086</v>
      </c>
      <c r="AK167" s="2" t="s">
        <v>1087</v>
      </c>
      <c r="AL167" s="2" t="s">
        <v>1135</v>
      </c>
      <c r="AM167" s="2"/>
      <c r="AN167" s="2"/>
      <c r="AO167" s="2"/>
      <c r="AP167" s="2">
        <v>3.8</v>
      </c>
      <c r="AQ167" s="2" t="s">
        <v>218</v>
      </c>
    </row>
    <row r="168" spans="1:43" ht="42">
      <c r="A168" s="2" t="s">
        <v>21</v>
      </c>
      <c r="B168" s="2" t="s">
        <v>1182</v>
      </c>
      <c r="C168" s="2" t="s">
        <v>545</v>
      </c>
      <c r="D168" s="2" t="s">
        <v>1170</v>
      </c>
      <c r="E168" s="2" t="s">
        <v>233</v>
      </c>
      <c r="F168" s="2" t="s">
        <v>562</v>
      </c>
      <c r="G168" s="2" t="s">
        <v>1183</v>
      </c>
      <c r="H168" s="2">
        <v>1</v>
      </c>
      <c r="I168" s="2" t="s">
        <v>1184</v>
      </c>
      <c r="J168" s="2"/>
      <c r="K168" s="2" t="s">
        <v>1134</v>
      </c>
      <c r="L168" s="2"/>
      <c r="M168" s="2" t="s">
        <v>1118</v>
      </c>
      <c r="N168" s="2"/>
      <c r="O168" s="2"/>
      <c r="P168" s="2"/>
      <c r="Q168" s="2"/>
      <c r="R168" s="2"/>
      <c r="S168" s="2"/>
      <c r="T168" s="2"/>
      <c r="U168" s="2" t="s">
        <v>549</v>
      </c>
      <c r="V168" s="2"/>
      <c r="W168" s="2"/>
      <c r="X168" s="2"/>
      <c r="Y168" s="2"/>
      <c r="Z168" s="2"/>
      <c r="AA168" s="2"/>
      <c r="AB168" s="2"/>
      <c r="AC168" s="2"/>
      <c r="AD168" s="2"/>
      <c r="AE168" s="2"/>
      <c r="AF168" s="2"/>
      <c r="AG168" s="2" t="s">
        <v>15</v>
      </c>
      <c r="AH168" s="2"/>
      <c r="AI168" s="2" t="s">
        <v>1085</v>
      </c>
      <c r="AJ168" s="2" t="s">
        <v>1086</v>
      </c>
      <c r="AK168" s="2" t="s">
        <v>1087</v>
      </c>
      <c r="AL168" s="2" t="s">
        <v>1135</v>
      </c>
      <c r="AM168" s="2"/>
      <c r="AN168" s="2"/>
      <c r="AO168" s="2"/>
      <c r="AP168" s="2">
        <v>12.1</v>
      </c>
      <c r="AQ168" s="2" t="s">
        <v>218</v>
      </c>
    </row>
    <row r="169" spans="1:43" ht="56">
      <c r="A169" s="2" t="s">
        <v>21</v>
      </c>
      <c r="B169" s="2" t="s">
        <v>1185</v>
      </c>
      <c r="C169" s="2" t="s">
        <v>545</v>
      </c>
      <c r="D169" s="2" t="s">
        <v>1170</v>
      </c>
      <c r="E169" s="2" t="s">
        <v>193</v>
      </c>
      <c r="F169" s="2" t="s">
        <v>562</v>
      </c>
      <c r="G169" s="2" t="s">
        <v>1186</v>
      </c>
      <c r="H169" s="2">
        <v>15</v>
      </c>
      <c r="I169" s="2" t="s">
        <v>1187</v>
      </c>
      <c r="J169" s="2"/>
      <c r="K169" s="2">
        <v>15</v>
      </c>
      <c r="L169" s="2"/>
      <c r="M169" s="2" t="s">
        <v>12</v>
      </c>
      <c r="N169" s="2"/>
      <c r="O169" s="2"/>
      <c r="P169" s="2"/>
      <c r="Q169" s="2"/>
      <c r="R169" s="2"/>
      <c r="S169" s="2"/>
      <c r="T169" s="2"/>
      <c r="U169" s="2" t="s">
        <v>549</v>
      </c>
      <c r="V169" s="2"/>
      <c r="W169" s="2"/>
      <c r="X169" s="2"/>
      <c r="Y169" s="2"/>
      <c r="Z169" s="2"/>
      <c r="AA169" s="2"/>
      <c r="AB169" s="2"/>
      <c r="AC169" s="2"/>
      <c r="AD169" s="2"/>
      <c r="AE169" s="2"/>
      <c r="AF169" s="2"/>
      <c r="AG169" s="2" t="s">
        <v>15</v>
      </c>
      <c r="AH169" s="2"/>
      <c r="AI169" s="2" t="s">
        <v>1085</v>
      </c>
      <c r="AJ169" s="2" t="s">
        <v>1086</v>
      </c>
      <c r="AK169" s="2" t="s">
        <v>1087</v>
      </c>
      <c r="AL169" s="2" t="s">
        <v>1088</v>
      </c>
      <c r="AM169" s="2"/>
      <c r="AN169" s="2"/>
      <c r="AO169" s="2"/>
      <c r="AP169" s="2">
        <v>119.7</v>
      </c>
      <c r="AQ169" s="2" t="s">
        <v>218</v>
      </c>
    </row>
    <row r="170" spans="1:43" ht="56">
      <c r="A170" s="2" t="s">
        <v>21</v>
      </c>
      <c r="B170" s="2" t="s">
        <v>1188</v>
      </c>
      <c r="C170" s="2" t="s">
        <v>545</v>
      </c>
      <c r="D170" s="2" t="s">
        <v>1170</v>
      </c>
      <c r="E170" s="2" t="s">
        <v>193</v>
      </c>
      <c r="F170" s="2" t="s">
        <v>572</v>
      </c>
      <c r="G170" s="2" t="s">
        <v>1189</v>
      </c>
      <c r="H170" s="2">
        <v>3</v>
      </c>
      <c r="I170" s="2" t="s">
        <v>1190</v>
      </c>
      <c r="J170" s="2"/>
      <c r="K170" s="2">
        <v>3</v>
      </c>
      <c r="L170" s="2"/>
      <c r="M170" s="2" t="s">
        <v>12</v>
      </c>
      <c r="N170" s="2"/>
      <c r="O170" s="2"/>
      <c r="P170" s="2"/>
      <c r="Q170" s="2"/>
      <c r="R170" s="2"/>
      <c r="S170" s="2"/>
      <c r="T170" s="2"/>
      <c r="U170" s="2" t="s">
        <v>549</v>
      </c>
      <c r="V170" s="2"/>
      <c r="W170" s="2"/>
      <c r="X170" s="2"/>
      <c r="Y170" s="2"/>
      <c r="Z170" s="2"/>
      <c r="AA170" s="2"/>
      <c r="AB170" s="2"/>
      <c r="AC170" s="2"/>
      <c r="AD170" s="2"/>
      <c r="AE170" s="2"/>
      <c r="AF170" s="2"/>
      <c r="AG170" s="2" t="s">
        <v>15</v>
      </c>
      <c r="AH170" s="2"/>
      <c r="AI170" s="2" t="s">
        <v>1085</v>
      </c>
      <c r="AJ170" s="2" t="s">
        <v>1086</v>
      </c>
      <c r="AK170" s="2" t="s">
        <v>1087</v>
      </c>
      <c r="AL170" s="2" t="s">
        <v>1088</v>
      </c>
      <c r="AM170" s="2"/>
      <c r="AN170" s="2"/>
      <c r="AO170" s="2"/>
      <c r="AP170" s="2">
        <v>0</v>
      </c>
      <c r="AQ170" s="2" t="s">
        <v>218</v>
      </c>
    </row>
    <row r="171" spans="1:43" ht="56">
      <c r="A171" s="2" t="s">
        <v>21</v>
      </c>
      <c r="B171" s="2" t="s">
        <v>1191</v>
      </c>
      <c r="C171" s="2" t="s">
        <v>545</v>
      </c>
      <c r="D171" s="2" t="s">
        <v>1170</v>
      </c>
      <c r="E171" s="2" t="s">
        <v>185</v>
      </c>
      <c r="F171" s="2" t="s">
        <v>562</v>
      </c>
      <c r="G171" s="2" t="s">
        <v>1192</v>
      </c>
      <c r="H171" s="2">
        <v>29</v>
      </c>
      <c r="I171" s="2" t="s">
        <v>1193</v>
      </c>
      <c r="J171" s="2"/>
      <c r="K171" s="2">
        <v>29</v>
      </c>
      <c r="L171" s="2"/>
      <c r="M171" s="2" t="s">
        <v>12</v>
      </c>
      <c r="N171" s="2"/>
      <c r="O171" s="2"/>
      <c r="P171" s="2"/>
      <c r="Q171" s="2"/>
      <c r="R171" s="2"/>
      <c r="S171" s="2"/>
      <c r="T171" s="2"/>
      <c r="U171" s="2" t="s">
        <v>549</v>
      </c>
      <c r="V171" s="2"/>
      <c r="W171" s="2"/>
      <c r="X171" s="2"/>
      <c r="Y171" s="2"/>
      <c r="Z171" s="2"/>
      <c r="AA171" s="2"/>
      <c r="AB171" s="2"/>
      <c r="AC171" s="2"/>
      <c r="AD171" s="2"/>
      <c r="AE171" s="2"/>
      <c r="AF171" s="2"/>
      <c r="AG171" s="2" t="s">
        <v>15</v>
      </c>
      <c r="AH171" s="2"/>
      <c r="AI171" s="2" t="s">
        <v>1085</v>
      </c>
      <c r="AJ171" s="2" t="s">
        <v>1086</v>
      </c>
      <c r="AK171" s="2" t="s">
        <v>1087</v>
      </c>
      <c r="AL171" s="2" t="s">
        <v>1088</v>
      </c>
      <c r="AM171" s="2"/>
      <c r="AN171" s="2"/>
      <c r="AO171" s="2"/>
      <c r="AP171" s="2">
        <v>0.8</v>
      </c>
      <c r="AQ171" s="2" t="s">
        <v>218</v>
      </c>
    </row>
    <row r="172" spans="1:43" ht="56">
      <c r="A172" s="2" t="s">
        <v>21</v>
      </c>
      <c r="B172" s="2" t="s">
        <v>1194</v>
      </c>
      <c r="C172" s="2" t="s">
        <v>545</v>
      </c>
      <c r="D172" s="2" t="s">
        <v>1170</v>
      </c>
      <c r="E172" s="2" t="s">
        <v>185</v>
      </c>
      <c r="F172" s="2" t="s">
        <v>572</v>
      </c>
      <c r="G172" s="2" t="s">
        <v>1195</v>
      </c>
      <c r="H172" s="2">
        <v>3</v>
      </c>
      <c r="I172" s="2" t="s">
        <v>1196</v>
      </c>
      <c r="J172" s="2"/>
      <c r="K172" s="2">
        <v>3</v>
      </c>
      <c r="L172" s="2"/>
      <c r="M172" s="2" t="s">
        <v>12</v>
      </c>
      <c r="N172" s="2"/>
      <c r="O172" s="2"/>
      <c r="P172" s="2"/>
      <c r="Q172" s="2"/>
      <c r="R172" s="2"/>
      <c r="S172" s="2"/>
      <c r="T172" s="2"/>
      <c r="U172" s="2" t="s">
        <v>549</v>
      </c>
      <c r="V172" s="2"/>
      <c r="W172" s="2"/>
      <c r="X172" s="2"/>
      <c r="Y172" s="2"/>
      <c r="Z172" s="2"/>
      <c r="AA172" s="2"/>
      <c r="AB172" s="2"/>
      <c r="AC172" s="2"/>
      <c r="AD172" s="2"/>
      <c r="AE172" s="2"/>
      <c r="AF172" s="2"/>
      <c r="AG172" s="2" t="s">
        <v>15</v>
      </c>
      <c r="AH172" s="2"/>
      <c r="AI172" s="2" t="s">
        <v>1085</v>
      </c>
      <c r="AJ172" s="2" t="s">
        <v>1086</v>
      </c>
      <c r="AK172" s="2" t="s">
        <v>1087</v>
      </c>
      <c r="AL172" s="2" t="s">
        <v>1088</v>
      </c>
      <c r="AM172" s="2"/>
      <c r="AN172" s="2"/>
      <c r="AO172" s="2"/>
      <c r="AP172" s="2">
        <v>0.2</v>
      </c>
      <c r="AQ172" s="2" t="s">
        <v>218</v>
      </c>
    </row>
    <row r="173" spans="1:43" ht="42">
      <c r="A173" s="2" t="s">
        <v>21</v>
      </c>
      <c r="B173" s="2" t="s">
        <v>1197</v>
      </c>
      <c r="C173" s="2" t="s">
        <v>680</v>
      </c>
      <c r="D173" s="2" t="s">
        <v>1198</v>
      </c>
      <c r="E173" s="2" t="s">
        <v>193</v>
      </c>
      <c r="F173" s="2" t="s">
        <v>562</v>
      </c>
      <c r="G173" s="2" t="s">
        <v>1199</v>
      </c>
      <c r="H173" s="2">
        <v>69</v>
      </c>
      <c r="I173" s="2" t="s">
        <v>1200</v>
      </c>
      <c r="J173" s="2"/>
      <c r="K173" s="2">
        <v>69</v>
      </c>
      <c r="L173" s="2"/>
      <c r="M173" s="2" t="s">
        <v>12</v>
      </c>
      <c r="N173" s="2"/>
      <c r="O173" s="2"/>
      <c r="P173" s="2"/>
      <c r="Q173" s="2"/>
      <c r="R173" s="2"/>
      <c r="S173" s="2"/>
      <c r="T173" s="2"/>
      <c r="U173" s="2" t="s">
        <v>549</v>
      </c>
      <c r="V173" s="2"/>
      <c r="W173" s="2"/>
      <c r="X173" s="2"/>
      <c r="Y173" s="2"/>
      <c r="Z173" s="2"/>
      <c r="AA173" s="2"/>
      <c r="AB173" s="2"/>
      <c r="AC173" s="2"/>
      <c r="AD173" s="2"/>
      <c r="AE173" s="2"/>
      <c r="AF173" s="2"/>
      <c r="AG173" s="2" t="s">
        <v>12</v>
      </c>
      <c r="AH173" s="2"/>
      <c r="AI173" s="2" t="s">
        <v>1106</v>
      </c>
      <c r="AJ173" s="2" t="s">
        <v>12</v>
      </c>
      <c r="AK173" s="2" t="s">
        <v>1201</v>
      </c>
      <c r="AL173" s="2" t="s">
        <v>1127</v>
      </c>
      <c r="AM173" s="2"/>
      <c r="AN173" s="2"/>
      <c r="AO173" s="2"/>
      <c r="AP173" s="2">
        <v>0</v>
      </c>
      <c r="AQ173" s="2" t="s">
        <v>218</v>
      </c>
    </row>
    <row r="174" spans="1:43" ht="42">
      <c r="A174" s="2" t="s">
        <v>21</v>
      </c>
      <c r="B174" s="2" t="s">
        <v>1202</v>
      </c>
      <c r="C174" s="2" t="s">
        <v>680</v>
      </c>
      <c r="D174" s="2" t="s">
        <v>1198</v>
      </c>
      <c r="E174" s="2" t="s">
        <v>193</v>
      </c>
      <c r="F174" s="2" t="s">
        <v>546</v>
      </c>
      <c r="G174" s="2" t="s">
        <v>1203</v>
      </c>
      <c r="H174" s="2">
        <v>312</v>
      </c>
      <c r="I174" s="2" t="s">
        <v>1204</v>
      </c>
      <c r="J174" s="2"/>
      <c r="K174" s="2">
        <v>312</v>
      </c>
      <c r="L174" s="2"/>
      <c r="M174" s="2" t="s">
        <v>12</v>
      </c>
      <c r="N174" s="2"/>
      <c r="O174" s="2"/>
      <c r="P174" s="2"/>
      <c r="Q174" s="2"/>
      <c r="R174" s="2"/>
      <c r="S174" s="2"/>
      <c r="T174" s="2"/>
      <c r="U174" s="2" t="s">
        <v>549</v>
      </c>
      <c r="V174" s="2"/>
      <c r="W174" s="2"/>
      <c r="X174" s="2"/>
      <c r="Y174" s="2"/>
      <c r="Z174" s="2"/>
      <c r="AA174" s="2"/>
      <c r="AB174" s="2"/>
      <c r="AC174" s="2"/>
      <c r="AD174" s="2"/>
      <c r="AE174" s="2"/>
      <c r="AF174" s="2"/>
      <c r="AG174" s="2" t="s">
        <v>12</v>
      </c>
      <c r="AH174" s="2"/>
      <c r="AI174" s="2" t="s">
        <v>1106</v>
      </c>
      <c r="AJ174" s="2" t="s">
        <v>12</v>
      </c>
      <c r="AK174" s="2" t="s">
        <v>1205</v>
      </c>
      <c r="AL174" s="2" t="s">
        <v>1127</v>
      </c>
      <c r="AM174" s="2"/>
      <c r="AN174" s="2"/>
      <c r="AO174" s="2"/>
      <c r="AP174" s="2">
        <v>0</v>
      </c>
      <c r="AQ174" s="2" t="s">
        <v>218</v>
      </c>
    </row>
    <row r="175" spans="1:43" ht="42">
      <c r="A175" s="2" t="s">
        <v>21</v>
      </c>
      <c r="B175" s="2" t="s">
        <v>1206</v>
      </c>
      <c r="C175" s="2" t="s">
        <v>680</v>
      </c>
      <c r="D175" s="2" t="s">
        <v>1198</v>
      </c>
      <c r="E175" s="2" t="s">
        <v>193</v>
      </c>
      <c r="F175" s="2" t="s">
        <v>572</v>
      </c>
      <c r="G175" s="2" t="s">
        <v>1207</v>
      </c>
      <c r="H175" s="2">
        <v>4</v>
      </c>
      <c r="I175" s="2" t="s">
        <v>1208</v>
      </c>
      <c r="J175" s="2"/>
      <c r="K175" s="2">
        <v>4</v>
      </c>
      <c r="L175" s="2"/>
      <c r="M175" s="2" t="s">
        <v>12</v>
      </c>
      <c r="N175" s="2"/>
      <c r="O175" s="2"/>
      <c r="P175" s="2"/>
      <c r="Q175" s="2"/>
      <c r="R175" s="2"/>
      <c r="S175" s="2"/>
      <c r="T175" s="2"/>
      <c r="U175" s="2" t="s">
        <v>549</v>
      </c>
      <c r="V175" s="2"/>
      <c r="W175" s="2"/>
      <c r="X175" s="2"/>
      <c r="Y175" s="2"/>
      <c r="Z175" s="2"/>
      <c r="AA175" s="2"/>
      <c r="AB175" s="2"/>
      <c r="AC175" s="2"/>
      <c r="AD175" s="2"/>
      <c r="AE175" s="2"/>
      <c r="AF175" s="2"/>
      <c r="AG175" s="2" t="s">
        <v>12</v>
      </c>
      <c r="AH175" s="2"/>
      <c r="AI175" s="2" t="s">
        <v>1106</v>
      </c>
      <c r="AJ175" s="2" t="s">
        <v>12</v>
      </c>
      <c r="AK175" s="2" t="s">
        <v>1209</v>
      </c>
      <c r="AL175" s="2" t="s">
        <v>1127</v>
      </c>
      <c r="AM175" s="2"/>
      <c r="AN175" s="2"/>
      <c r="AO175" s="2"/>
      <c r="AP175" s="2">
        <v>0.7</v>
      </c>
      <c r="AQ175" s="2" t="s">
        <v>218</v>
      </c>
    </row>
    <row r="176" spans="1:43" ht="56">
      <c r="A176" s="2" t="s">
        <v>21</v>
      </c>
      <c r="B176" s="2" t="s">
        <v>1210</v>
      </c>
      <c r="C176" s="2" t="s">
        <v>680</v>
      </c>
      <c r="D176" s="2" t="s">
        <v>1198</v>
      </c>
      <c r="E176" s="2" t="s">
        <v>193</v>
      </c>
      <c r="F176" s="2" t="s">
        <v>562</v>
      </c>
      <c r="G176" s="2" t="s">
        <v>1211</v>
      </c>
      <c r="H176" s="2">
        <v>20</v>
      </c>
      <c r="I176" s="2" t="s">
        <v>1212</v>
      </c>
      <c r="J176" s="2"/>
      <c r="K176" s="2">
        <v>20</v>
      </c>
      <c r="L176" s="2"/>
      <c r="M176" s="2" t="s">
        <v>12</v>
      </c>
      <c r="N176" s="2"/>
      <c r="O176" s="2"/>
      <c r="P176" s="2"/>
      <c r="Q176" s="2"/>
      <c r="R176" s="2"/>
      <c r="S176" s="2"/>
      <c r="T176" s="2"/>
      <c r="U176" s="2" t="s">
        <v>549</v>
      </c>
      <c r="V176" s="2"/>
      <c r="W176" s="2"/>
      <c r="X176" s="2"/>
      <c r="Y176" s="2"/>
      <c r="Z176" s="2"/>
      <c r="AA176" s="2"/>
      <c r="AB176" s="2"/>
      <c r="AC176" s="2"/>
      <c r="AD176" s="2"/>
      <c r="AE176" s="2"/>
      <c r="AF176" s="2"/>
      <c r="AG176" s="2" t="s">
        <v>15</v>
      </c>
      <c r="AH176" s="2"/>
      <c r="AI176" s="2" t="s">
        <v>1085</v>
      </c>
      <c r="AJ176" s="2" t="s">
        <v>1086</v>
      </c>
      <c r="AK176" s="2" t="s">
        <v>1087</v>
      </c>
      <c r="AL176" s="2" t="s">
        <v>1088</v>
      </c>
      <c r="AM176" s="2"/>
      <c r="AN176" s="2"/>
      <c r="AO176" s="2"/>
      <c r="AP176" s="2">
        <v>0.2</v>
      </c>
      <c r="AQ176" s="2" t="s">
        <v>218</v>
      </c>
    </row>
    <row r="177" spans="1:43" ht="42">
      <c r="A177" s="2" t="s">
        <v>21</v>
      </c>
      <c r="B177" s="2" t="s">
        <v>1213</v>
      </c>
      <c r="C177" s="2" t="s">
        <v>680</v>
      </c>
      <c r="D177" s="2" t="s">
        <v>1198</v>
      </c>
      <c r="E177" s="2" t="s">
        <v>193</v>
      </c>
      <c r="F177" s="2" t="s">
        <v>546</v>
      </c>
      <c r="G177" s="2" t="s">
        <v>1214</v>
      </c>
      <c r="H177" s="2">
        <v>1</v>
      </c>
      <c r="I177" s="2" t="s">
        <v>1215</v>
      </c>
      <c r="J177" s="2"/>
      <c r="K177" s="2">
        <v>1</v>
      </c>
      <c r="L177" s="2"/>
      <c r="M177" s="2" t="s">
        <v>12</v>
      </c>
      <c r="N177" s="2"/>
      <c r="O177" s="2"/>
      <c r="P177" s="2"/>
      <c r="Q177" s="2"/>
      <c r="R177" s="2"/>
      <c r="S177" s="2"/>
      <c r="T177" s="2"/>
      <c r="U177" s="2" t="s">
        <v>549</v>
      </c>
      <c r="V177" s="2"/>
      <c r="W177" s="2"/>
      <c r="X177" s="2"/>
      <c r="Y177" s="2"/>
      <c r="Z177" s="2"/>
      <c r="AA177" s="2"/>
      <c r="AB177" s="2"/>
      <c r="AC177" s="2"/>
      <c r="AD177" s="2"/>
      <c r="AE177" s="2"/>
      <c r="AF177" s="2"/>
      <c r="AG177" s="2" t="s">
        <v>12</v>
      </c>
      <c r="AH177" s="2"/>
      <c r="AI177" s="2" t="s">
        <v>1106</v>
      </c>
      <c r="AJ177" s="2" t="s">
        <v>12</v>
      </c>
      <c r="AK177" s="2" t="s">
        <v>1216</v>
      </c>
      <c r="AL177" s="2" t="s">
        <v>1127</v>
      </c>
      <c r="AM177" s="2"/>
      <c r="AN177" s="2"/>
      <c r="AO177" s="2"/>
      <c r="AP177" s="2">
        <v>0</v>
      </c>
      <c r="AQ177" s="2" t="s">
        <v>218</v>
      </c>
    </row>
    <row r="178" spans="1:43" ht="42">
      <c r="A178" s="2" t="s">
        <v>21</v>
      </c>
      <c r="B178" s="2" t="s">
        <v>1217</v>
      </c>
      <c r="C178" s="2" t="s">
        <v>680</v>
      </c>
      <c r="D178" s="2" t="s">
        <v>1198</v>
      </c>
      <c r="E178" s="2" t="s">
        <v>193</v>
      </c>
      <c r="F178" s="2" t="s">
        <v>572</v>
      </c>
      <c r="G178" s="2" t="s">
        <v>1218</v>
      </c>
      <c r="H178" s="2">
        <v>8</v>
      </c>
      <c r="I178" s="2" t="s">
        <v>1219</v>
      </c>
      <c r="J178" s="2"/>
      <c r="K178" s="2">
        <v>8</v>
      </c>
      <c r="L178" s="2"/>
      <c r="M178" s="2" t="s">
        <v>12</v>
      </c>
      <c r="N178" s="2"/>
      <c r="O178" s="2"/>
      <c r="P178" s="2"/>
      <c r="Q178" s="2"/>
      <c r="R178" s="2"/>
      <c r="S178" s="2"/>
      <c r="T178" s="2"/>
      <c r="U178" s="2" t="s">
        <v>549</v>
      </c>
      <c r="V178" s="2"/>
      <c r="W178" s="2"/>
      <c r="X178" s="2"/>
      <c r="Y178" s="2"/>
      <c r="Z178" s="2"/>
      <c r="AA178" s="2"/>
      <c r="AB178" s="2"/>
      <c r="AC178" s="2"/>
      <c r="AD178" s="2"/>
      <c r="AE178" s="2"/>
      <c r="AF178" s="2"/>
      <c r="AG178" s="2" t="s">
        <v>12</v>
      </c>
      <c r="AH178" s="2"/>
      <c r="AI178" s="2" t="s">
        <v>1106</v>
      </c>
      <c r="AJ178" s="2" t="s">
        <v>12</v>
      </c>
      <c r="AK178" s="2" t="s">
        <v>1220</v>
      </c>
      <c r="AL178" s="2" t="s">
        <v>1127</v>
      </c>
      <c r="AM178" s="2"/>
      <c r="AN178" s="2"/>
      <c r="AO178" s="2"/>
      <c r="AP178" s="2">
        <v>0</v>
      </c>
      <c r="AQ178" s="2" t="s">
        <v>218</v>
      </c>
    </row>
    <row r="179" spans="1:43" ht="42">
      <c r="A179" s="2" t="s">
        <v>21</v>
      </c>
      <c r="B179" s="2" t="s">
        <v>1221</v>
      </c>
      <c r="C179" s="2" t="s">
        <v>680</v>
      </c>
      <c r="D179" s="2" t="s">
        <v>1222</v>
      </c>
      <c r="E179" s="2" t="s">
        <v>193</v>
      </c>
      <c r="F179" s="2" t="s">
        <v>562</v>
      </c>
      <c r="G179" s="2" t="s">
        <v>1223</v>
      </c>
      <c r="H179" s="2">
        <v>1</v>
      </c>
      <c r="I179" s="2" t="s">
        <v>1224</v>
      </c>
      <c r="J179" s="2"/>
      <c r="K179" s="2">
        <v>1</v>
      </c>
      <c r="L179" s="2"/>
      <c r="M179" s="2" t="s">
        <v>12</v>
      </c>
      <c r="N179" s="2"/>
      <c r="O179" s="2"/>
      <c r="P179" s="2"/>
      <c r="Q179" s="2"/>
      <c r="R179" s="2"/>
      <c r="S179" s="2"/>
      <c r="T179" s="2"/>
      <c r="U179" s="2" t="s">
        <v>549</v>
      </c>
      <c r="V179" s="2"/>
      <c r="W179" s="2"/>
      <c r="X179" s="2"/>
      <c r="Y179" s="2"/>
      <c r="Z179" s="2"/>
      <c r="AA179" s="2"/>
      <c r="AB179" s="2"/>
      <c r="AC179" s="2"/>
      <c r="AD179" s="2"/>
      <c r="AE179" s="2"/>
      <c r="AF179" s="2"/>
      <c r="AG179" s="2" t="s">
        <v>12</v>
      </c>
      <c r="AH179" s="2"/>
      <c r="AI179" s="2" t="s">
        <v>1106</v>
      </c>
      <c r="AJ179" s="2" t="s">
        <v>12</v>
      </c>
      <c r="AK179" s="2" t="s">
        <v>1225</v>
      </c>
      <c r="AL179" s="2" t="s">
        <v>1127</v>
      </c>
      <c r="AM179" s="2"/>
      <c r="AN179" s="2"/>
      <c r="AO179" s="2"/>
      <c r="AP179" s="2">
        <v>0.4</v>
      </c>
      <c r="AQ179" s="2" t="s">
        <v>218</v>
      </c>
    </row>
    <row r="180" spans="1:43" ht="56">
      <c r="A180" s="2" t="s">
        <v>21</v>
      </c>
      <c r="B180" s="2" t="s">
        <v>1226</v>
      </c>
      <c r="C180" s="2" t="s">
        <v>680</v>
      </c>
      <c r="D180" s="2" t="s">
        <v>1222</v>
      </c>
      <c r="E180" s="2" t="s">
        <v>193</v>
      </c>
      <c r="F180" s="2" t="s">
        <v>546</v>
      </c>
      <c r="G180" s="2" t="s">
        <v>1227</v>
      </c>
      <c r="H180" s="2">
        <v>2</v>
      </c>
      <c r="I180" s="2" t="s">
        <v>1228</v>
      </c>
      <c r="J180" s="2"/>
      <c r="K180" s="2">
        <v>2</v>
      </c>
      <c r="L180" s="2"/>
      <c r="M180" s="2" t="s">
        <v>12</v>
      </c>
      <c r="N180" s="2"/>
      <c r="O180" s="2"/>
      <c r="P180" s="2"/>
      <c r="Q180" s="2"/>
      <c r="R180" s="2"/>
      <c r="S180" s="2"/>
      <c r="T180" s="2"/>
      <c r="U180" s="2" t="s">
        <v>549</v>
      </c>
      <c r="V180" s="2"/>
      <c r="W180" s="2"/>
      <c r="X180" s="2"/>
      <c r="Y180" s="2"/>
      <c r="Z180" s="2"/>
      <c r="AA180" s="2"/>
      <c r="AB180" s="2"/>
      <c r="AC180" s="2"/>
      <c r="AD180" s="2"/>
      <c r="AE180" s="2"/>
      <c r="AF180" s="2"/>
      <c r="AG180" s="2" t="s">
        <v>12</v>
      </c>
      <c r="AH180" s="2"/>
      <c r="AI180" s="2" t="s">
        <v>1106</v>
      </c>
      <c r="AJ180" s="2" t="s">
        <v>12</v>
      </c>
      <c r="AK180" s="2" t="s">
        <v>1126</v>
      </c>
      <c r="AL180" s="2" t="s">
        <v>1127</v>
      </c>
      <c r="AM180" s="2"/>
      <c r="AN180" s="2"/>
      <c r="AO180" s="2"/>
      <c r="AP180" s="2">
        <v>0</v>
      </c>
      <c r="AQ180" s="2" t="s">
        <v>218</v>
      </c>
    </row>
    <row r="181" spans="1:43" ht="42">
      <c r="A181" s="2" t="s">
        <v>21</v>
      </c>
      <c r="B181" s="2" t="s">
        <v>1229</v>
      </c>
      <c r="C181" s="2" t="s">
        <v>680</v>
      </c>
      <c r="D181" s="2" t="s">
        <v>1222</v>
      </c>
      <c r="E181" s="2" t="s">
        <v>200</v>
      </c>
      <c r="F181" s="2" t="s">
        <v>572</v>
      </c>
      <c r="G181" s="2" t="s">
        <v>1230</v>
      </c>
      <c r="H181" s="2">
        <v>3</v>
      </c>
      <c r="I181" s="2" t="s">
        <v>1231</v>
      </c>
      <c r="J181" s="2"/>
      <c r="K181" s="2">
        <v>3</v>
      </c>
      <c r="L181" s="2"/>
      <c r="M181" s="2" t="s">
        <v>12</v>
      </c>
      <c r="N181" s="2"/>
      <c r="O181" s="2"/>
      <c r="P181" s="2"/>
      <c r="Q181" s="2"/>
      <c r="R181" s="2"/>
      <c r="S181" s="2"/>
      <c r="T181" s="2"/>
      <c r="U181" s="2" t="s">
        <v>549</v>
      </c>
      <c r="V181" s="2"/>
      <c r="W181" s="2"/>
      <c r="X181" s="2"/>
      <c r="Y181" s="2"/>
      <c r="Z181" s="2"/>
      <c r="AA181" s="2"/>
      <c r="AB181" s="2"/>
      <c r="AC181" s="2"/>
      <c r="AD181" s="2"/>
      <c r="AE181" s="2"/>
      <c r="AF181" s="2"/>
      <c r="AG181" s="2" t="s">
        <v>12</v>
      </c>
      <c r="AH181" s="2"/>
      <c r="AI181" s="2" t="s">
        <v>1106</v>
      </c>
      <c r="AJ181" s="2" t="s">
        <v>12</v>
      </c>
      <c r="AK181" s="2" t="s">
        <v>1232</v>
      </c>
      <c r="AL181" s="2" t="s">
        <v>1127</v>
      </c>
      <c r="AM181" s="2"/>
      <c r="AN181" s="2"/>
      <c r="AO181" s="2"/>
      <c r="AP181" s="2">
        <v>14.3</v>
      </c>
      <c r="AQ181" s="2" t="s">
        <v>218</v>
      </c>
    </row>
    <row r="182" spans="1:43" ht="42">
      <c r="A182" s="2" t="s">
        <v>21</v>
      </c>
      <c r="B182" s="2" t="s">
        <v>1233</v>
      </c>
      <c r="C182" s="2" t="s">
        <v>680</v>
      </c>
      <c r="D182" s="2" t="s">
        <v>1222</v>
      </c>
      <c r="E182" s="2" t="s">
        <v>200</v>
      </c>
      <c r="F182" s="2" t="s">
        <v>562</v>
      </c>
      <c r="G182" s="2" t="s">
        <v>1234</v>
      </c>
      <c r="H182" s="2">
        <v>3</v>
      </c>
      <c r="I182" s="2" t="s">
        <v>1235</v>
      </c>
      <c r="J182" s="2"/>
      <c r="K182" s="2">
        <v>3</v>
      </c>
      <c r="L182" s="2"/>
      <c r="M182" s="2" t="s">
        <v>12</v>
      </c>
      <c r="N182" s="2"/>
      <c r="O182" s="2"/>
      <c r="P182" s="2"/>
      <c r="Q182" s="2"/>
      <c r="R182" s="2"/>
      <c r="S182" s="2"/>
      <c r="T182" s="2"/>
      <c r="U182" s="2" t="s">
        <v>549</v>
      </c>
      <c r="V182" s="2"/>
      <c r="W182" s="2"/>
      <c r="X182" s="2"/>
      <c r="Y182" s="2"/>
      <c r="Z182" s="2"/>
      <c r="AA182" s="2"/>
      <c r="AB182" s="2"/>
      <c r="AC182" s="2"/>
      <c r="AD182" s="2"/>
      <c r="AE182" s="2"/>
      <c r="AF182" s="2"/>
      <c r="AG182" s="2" t="s">
        <v>12</v>
      </c>
      <c r="AH182" s="2"/>
      <c r="AI182" s="2" t="s">
        <v>1106</v>
      </c>
      <c r="AJ182" s="2" t="s">
        <v>12</v>
      </c>
      <c r="AK182" s="2" t="s">
        <v>1236</v>
      </c>
      <c r="AL182" s="2" t="s">
        <v>1127</v>
      </c>
      <c r="AM182" s="2"/>
      <c r="AN182" s="2"/>
      <c r="AO182" s="2"/>
      <c r="AP182" s="2">
        <v>15.1</v>
      </c>
      <c r="AQ182" s="2" t="s">
        <v>218</v>
      </c>
    </row>
    <row r="183" spans="1:43" ht="42">
      <c r="A183" s="2" t="s">
        <v>21</v>
      </c>
      <c r="B183" s="2" t="s">
        <v>1237</v>
      </c>
      <c r="C183" s="2" t="s">
        <v>680</v>
      </c>
      <c r="D183" s="2" t="s">
        <v>1222</v>
      </c>
      <c r="E183" s="2" t="s">
        <v>193</v>
      </c>
      <c r="F183" s="2" t="s">
        <v>562</v>
      </c>
      <c r="G183" s="2" t="s">
        <v>1238</v>
      </c>
      <c r="H183" s="2">
        <v>1</v>
      </c>
      <c r="I183" s="2" t="s">
        <v>1239</v>
      </c>
      <c r="J183" s="2"/>
      <c r="K183" s="2">
        <v>1</v>
      </c>
      <c r="L183" s="2"/>
      <c r="M183" s="2" t="s">
        <v>12</v>
      </c>
      <c r="N183" s="2"/>
      <c r="O183" s="2"/>
      <c r="P183" s="2"/>
      <c r="Q183" s="2"/>
      <c r="R183" s="2"/>
      <c r="S183" s="2"/>
      <c r="T183" s="2"/>
      <c r="U183" s="2" t="s">
        <v>549</v>
      </c>
      <c r="V183" s="2"/>
      <c r="W183" s="2"/>
      <c r="X183" s="2"/>
      <c r="Y183" s="2"/>
      <c r="Z183" s="2"/>
      <c r="AA183" s="2"/>
      <c r="AB183" s="2"/>
      <c r="AC183" s="2"/>
      <c r="AD183" s="2"/>
      <c r="AE183" s="2"/>
      <c r="AF183" s="2"/>
      <c r="AG183" s="2" t="s">
        <v>12</v>
      </c>
      <c r="AH183" s="2"/>
      <c r="AI183" s="2" t="s">
        <v>1106</v>
      </c>
      <c r="AJ183" s="2" t="s">
        <v>12</v>
      </c>
      <c r="AK183" s="2" t="s">
        <v>1225</v>
      </c>
      <c r="AL183" s="2" t="s">
        <v>1127</v>
      </c>
      <c r="AM183" s="2"/>
      <c r="AN183" s="2"/>
      <c r="AO183" s="2"/>
      <c r="AP183" s="2">
        <v>0</v>
      </c>
      <c r="AQ183" s="2" t="s">
        <v>218</v>
      </c>
    </row>
    <row r="184" spans="1:43" ht="56">
      <c r="A184" s="2" t="s">
        <v>21</v>
      </c>
      <c r="B184" s="2" t="s">
        <v>1240</v>
      </c>
      <c r="C184" s="2" t="s">
        <v>680</v>
      </c>
      <c r="D184" s="2" t="s">
        <v>1222</v>
      </c>
      <c r="E184" s="2" t="s">
        <v>185</v>
      </c>
      <c r="F184" s="2" t="s">
        <v>562</v>
      </c>
      <c r="G184" s="2" t="s">
        <v>1241</v>
      </c>
      <c r="H184" s="2">
        <v>1</v>
      </c>
      <c r="I184" s="2" t="s">
        <v>1242</v>
      </c>
      <c r="J184" s="2"/>
      <c r="K184" s="2">
        <v>1</v>
      </c>
      <c r="L184" s="2"/>
      <c r="M184" s="2" t="s">
        <v>12</v>
      </c>
      <c r="N184" s="2"/>
      <c r="O184" s="2"/>
      <c r="P184" s="2"/>
      <c r="Q184" s="2"/>
      <c r="R184" s="2"/>
      <c r="S184" s="2"/>
      <c r="T184" s="2"/>
      <c r="U184" s="2" t="s">
        <v>549</v>
      </c>
      <c r="V184" s="2"/>
      <c r="W184" s="2"/>
      <c r="X184" s="2"/>
      <c r="Y184" s="2"/>
      <c r="Z184" s="2"/>
      <c r="AA184" s="2"/>
      <c r="AB184" s="2"/>
      <c r="AC184" s="2"/>
      <c r="AD184" s="2"/>
      <c r="AE184" s="2"/>
      <c r="AF184" s="2"/>
      <c r="AG184" s="2" t="s">
        <v>15</v>
      </c>
      <c r="AH184" s="2"/>
      <c r="AI184" s="2" t="s">
        <v>1085</v>
      </c>
      <c r="AJ184" s="2" t="s">
        <v>1086</v>
      </c>
      <c r="AK184" s="2" t="s">
        <v>1087</v>
      </c>
      <c r="AL184" s="2" t="s">
        <v>1088</v>
      </c>
      <c r="AM184" s="2"/>
      <c r="AN184" s="2"/>
      <c r="AO184" s="2"/>
      <c r="AP184" s="2">
        <v>3.3</v>
      </c>
      <c r="AQ184" s="2" t="s">
        <v>218</v>
      </c>
    </row>
    <row r="185" spans="1:43" ht="42">
      <c r="A185" s="2" t="s">
        <v>21</v>
      </c>
      <c r="B185" s="2" t="s">
        <v>1243</v>
      </c>
      <c r="C185" s="2" t="s">
        <v>680</v>
      </c>
      <c r="D185" s="2" t="s">
        <v>1222</v>
      </c>
      <c r="E185" s="2" t="s">
        <v>233</v>
      </c>
      <c r="F185" s="2" t="s">
        <v>572</v>
      </c>
      <c r="G185" s="2" t="s">
        <v>1244</v>
      </c>
      <c r="H185" s="2">
        <v>1</v>
      </c>
      <c r="I185" s="2" t="s">
        <v>1245</v>
      </c>
      <c r="J185" s="2"/>
      <c r="K185" s="2" t="s">
        <v>1134</v>
      </c>
      <c r="L185" s="2"/>
      <c r="M185" s="2" t="s">
        <v>1118</v>
      </c>
      <c r="N185" s="2"/>
      <c r="O185" s="2"/>
      <c r="P185" s="2"/>
      <c r="Q185" s="2"/>
      <c r="R185" s="2"/>
      <c r="S185" s="2"/>
      <c r="T185" s="2"/>
      <c r="U185" s="2" t="s">
        <v>549</v>
      </c>
      <c r="V185" s="2"/>
      <c r="W185" s="2"/>
      <c r="X185" s="2"/>
      <c r="Y185" s="2"/>
      <c r="Z185" s="2"/>
      <c r="AA185" s="2"/>
      <c r="AB185" s="2"/>
      <c r="AC185" s="2"/>
      <c r="AD185" s="2"/>
      <c r="AE185" s="2"/>
      <c r="AF185" s="2"/>
      <c r="AG185" s="2" t="s">
        <v>15</v>
      </c>
      <c r="AH185" s="2"/>
      <c r="AI185" s="2" t="s">
        <v>1085</v>
      </c>
      <c r="AJ185" s="2" t="s">
        <v>1086</v>
      </c>
      <c r="AK185" s="2" t="s">
        <v>1087</v>
      </c>
      <c r="AL185" s="2" t="s">
        <v>1135</v>
      </c>
      <c r="AM185" s="2"/>
      <c r="AN185" s="2"/>
      <c r="AO185" s="2"/>
      <c r="AP185" s="2">
        <v>13.6</v>
      </c>
      <c r="AQ185" s="2" t="s">
        <v>218</v>
      </c>
    </row>
    <row r="186" spans="1:43" ht="42">
      <c r="A186" s="2" t="s">
        <v>21</v>
      </c>
      <c r="B186" s="2" t="s">
        <v>1246</v>
      </c>
      <c r="C186" s="2" t="s">
        <v>680</v>
      </c>
      <c r="D186" s="2" t="s">
        <v>1222</v>
      </c>
      <c r="E186" s="2" t="s">
        <v>193</v>
      </c>
      <c r="F186" s="2" t="s">
        <v>562</v>
      </c>
      <c r="G186" s="2" t="s">
        <v>1247</v>
      </c>
      <c r="H186" s="2">
        <v>1</v>
      </c>
      <c r="I186" s="2" t="s">
        <v>1248</v>
      </c>
      <c r="J186" s="2"/>
      <c r="K186" s="2">
        <v>1</v>
      </c>
      <c r="L186" s="2"/>
      <c r="M186" s="2" t="s">
        <v>12</v>
      </c>
      <c r="N186" s="2"/>
      <c r="O186" s="2"/>
      <c r="P186" s="2"/>
      <c r="Q186" s="2"/>
      <c r="R186" s="2"/>
      <c r="S186" s="2"/>
      <c r="T186" s="2"/>
      <c r="U186" s="2" t="s">
        <v>549</v>
      </c>
      <c r="V186" s="2"/>
      <c r="W186" s="2"/>
      <c r="X186" s="2"/>
      <c r="Y186" s="2"/>
      <c r="Z186" s="2"/>
      <c r="AA186" s="2"/>
      <c r="AB186" s="2"/>
      <c r="AC186" s="2"/>
      <c r="AD186" s="2"/>
      <c r="AE186" s="2"/>
      <c r="AF186" s="2"/>
      <c r="AG186" s="2" t="s">
        <v>12</v>
      </c>
      <c r="AH186" s="2"/>
      <c r="AI186" s="2" t="s">
        <v>1106</v>
      </c>
      <c r="AJ186" s="2" t="s">
        <v>12</v>
      </c>
      <c r="AK186" s="2" t="s">
        <v>1249</v>
      </c>
      <c r="AL186" s="2" t="s">
        <v>1127</v>
      </c>
      <c r="AM186" s="2"/>
      <c r="AN186" s="2"/>
      <c r="AO186" s="2"/>
      <c r="AP186" s="2">
        <v>0</v>
      </c>
      <c r="AQ186" s="2" t="s">
        <v>218</v>
      </c>
    </row>
    <row r="187" spans="1:43" ht="42">
      <c r="A187" s="2" t="s">
        <v>21</v>
      </c>
      <c r="B187" s="2" t="s">
        <v>1250</v>
      </c>
      <c r="C187" s="2" t="s">
        <v>680</v>
      </c>
      <c r="D187" s="2" t="s">
        <v>1222</v>
      </c>
      <c r="E187" s="2" t="s">
        <v>193</v>
      </c>
      <c r="F187" s="2" t="s">
        <v>572</v>
      </c>
      <c r="G187" s="2" t="s">
        <v>1251</v>
      </c>
      <c r="H187" s="2">
        <v>1</v>
      </c>
      <c r="I187" s="2" t="s">
        <v>1252</v>
      </c>
      <c r="J187" s="2"/>
      <c r="K187" s="2">
        <v>1</v>
      </c>
      <c r="L187" s="2"/>
      <c r="M187" s="2" t="s">
        <v>12</v>
      </c>
      <c r="N187" s="2"/>
      <c r="O187" s="2"/>
      <c r="P187" s="2"/>
      <c r="Q187" s="2"/>
      <c r="R187" s="2"/>
      <c r="S187" s="2"/>
      <c r="T187" s="2"/>
      <c r="U187" s="2" t="s">
        <v>549</v>
      </c>
      <c r="V187" s="2"/>
      <c r="W187" s="2"/>
      <c r="X187" s="2"/>
      <c r="Y187" s="2"/>
      <c r="Z187" s="2"/>
      <c r="AA187" s="2"/>
      <c r="AB187" s="2"/>
      <c r="AC187" s="2"/>
      <c r="AD187" s="2"/>
      <c r="AE187" s="2"/>
      <c r="AF187" s="2"/>
      <c r="AG187" s="2" t="s">
        <v>12</v>
      </c>
      <c r="AH187" s="2"/>
      <c r="AI187" s="2" t="s">
        <v>1106</v>
      </c>
      <c r="AJ187" s="2" t="s">
        <v>12</v>
      </c>
      <c r="AK187" s="2" t="s">
        <v>1225</v>
      </c>
      <c r="AL187" s="2" t="s">
        <v>1127</v>
      </c>
      <c r="AM187" s="2"/>
      <c r="AN187" s="2"/>
      <c r="AO187" s="2"/>
      <c r="AP187" s="2">
        <v>0</v>
      </c>
      <c r="AQ187" s="2" t="s">
        <v>218</v>
      </c>
    </row>
    <row r="188" spans="1:43" ht="42">
      <c r="A188" s="2" t="s">
        <v>21</v>
      </c>
      <c r="B188" s="2" t="s">
        <v>1253</v>
      </c>
      <c r="C188" s="2" t="s">
        <v>680</v>
      </c>
      <c r="D188" s="2" t="s">
        <v>1222</v>
      </c>
      <c r="E188" s="2" t="s">
        <v>233</v>
      </c>
      <c r="F188" s="2" t="s">
        <v>562</v>
      </c>
      <c r="G188" s="2" t="s">
        <v>1254</v>
      </c>
      <c r="H188" s="2">
        <v>1</v>
      </c>
      <c r="I188" s="2" t="s">
        <v>1255</v>
      </c>
      <c r="J188" s="2"/>
      <c r="K188" s="2" t="s">
        <v>1134</v>
      </c>
      <c r="L188" s="2"/>
      <c r="M188" s="2" t="s">
        <v>1118</v>
      </c>
      <c r="N188" s="2"/>
      <c r="O188" s="2"/>
      <c r="P188" s="2"/>
      <c r="Q188" s="2"/>
      <c r="R188" s="2"/>
      <c r="S188" s="2"/>
      <c r="T188" s="2"/>
      <c r="U188" s="2" t="s">
        <v>549</v>
      </c>
      <c r="V188" s="2"/>
      <c r="W188" s="2"/>
      <c r="X188" s="2"/>
      <c r="Y188" s="2"/>
      <c r="Z188" s="2"/>
      <c r="AA188" s="2"/>
      <c r="AB188" s="2"/>
      <c r="AC188" s="2"/>
      <c r="AD188" s="2"/>
      <c r="AE188" s="2"/>
      <c r="AF188" s="2"/>
      <c r="AG188" s="2" t="s">
        <v>15</v>
      </c>
      <c r="AH188" s="2"/>
      <c r="AI188" s="2" t="s">
        <v>1085</v>
      </c>
      <c r="AJ188" s="2" t="s">
        <v>1086</v>
      </c>
      <c r="AK188" s="2" t="s">
        <v>1087</v>
      </c>
      <c r="AL188" s="2" t="s">
        <v>1135</v>
      </c>
      <c r="AM188" s="2"/>
      <c r="AN188" s="2"/>
      <c r="AO188" s="2"/>
      <c r="AP188" s="2">
        <v>31.1</v>
      </c>
      <c r="AQ188" s="2" t="s">
        <v>218</v>
      </c>
    </row>
    <row r="189" spans="1:43" ht="56">
      <c r="A189" s="2" t="s">
        <v>21</v>
      </c>
      <c r="B189" s="2" t="s">
        <v>1256</v>
      </c>
      <c r="C189" s="2" t="s">
        <v>680</v>
      </c>
      <c r="D189" s="2" t="s">
        <v>1257</v>
      </c>
      <c r="E189" s="2" t="s">
        <v>185</v>
      </c>
      <c r="F189" s="2" t="s">
        <v>546</v>
      </c>
      <c r="G189" s="2" t="s">
        <v>1258</v>
      </c>
      <c r="H189" s="2">
        <v>10</v>
      </c>
      <c r="I189" s="2" t="s">
        <v>1259</v>
      </c>
      <c r="J189" s="2"/>
      <c r="K189" s="2">
        <v>10</v>
      </c>
      <c r="L189" s="2"/>
      <c r="M189" s="2" t="s">
        <v>12</v>
      </c>
      <c r="N189" s="2"/>
      <c r="O189" s="2"/>
      <c r="P189" s="2"/>
      <c r="Q189" s="2"/>
      <c r="R189" s="2"/>
      <c r="S189" s="2"/>
      <c r="T189" s="2"/>
      <c r="U189" s="2" t="s">
        <v>549</v>
      </c>
      <c r="V189" s="2"/>
      <c r="W189" s="2"/>
      <c r="X189" s="2"/>
      <c r="Y189" s="2"/>
      <c r="Z189" s="2"/>
      <c r="AA189" s="2"/>
      <c r="AB189" s="2"/>
      <c r="AC189" s="2"/>
      <c r="AD189" s="2"/>
      <c r="AE189" s="2"/>
      <c r="AF189" s="2"/>
      <c r="AG189" s="2" t="s">
        <v>15</v>
      </c>
      <c r="AH189" s="2"/>
      <c r="AI189" s="2" t="s">
        <v>1085</v>
      </c>
      <c r="AJ189" s="2" t="s">
        <v>1086</v>
      </c>
      <c r="AK189" s="2" t="s">
        <v>1087</v>
      </c>
      <c r="AL189" s="2" t="s">
        <v>1088</v>
      </c>
      <c r="AM189" s="2"/>
      <c r="AN189" s="2"/>
      <c r="AO189" s="2"/>
      <c r="AP189" s="2">
        <v>27.1</v>
      </c>
      <c r="AQ189" s="2" t="s">
        <v>218</v>
      </c>
    </row>
    <row r="190" spans="1:43" ht="56">
      <c r="A190" s="2" t="s">
        <v>21</v>
      </c>
      <c r="B190" s="2" t="s">
        <v>1260</v>
      </c>
      <c r="C190" s="2" t="s">
        <v>680</v>
      </c>
      <c r="D190" s="2" t="s">
        <v>1257</v>
      </c>
      <c r="E190" s="2" t="s">
        <v>185</v>
      </c>
      <c r="F190" s="2" t="s">
        <v>562</v>
      </c>
      <c r="G190" s="2" t="s">
        <v>1261</v>
      </c>
      <c r="H190" s="2">
        <v>1</v>
      </c>
      <c r="I190" s="2" t="s">
        <v>1262</v>
      </c>
      <c r="J190" s="2"/>
      <c r="K190" s="2">
        <v>1</v>
      </c>
      <c r="L190" s="2"/>
      <c r="M190" s="2" t="s">
        <v>12</v>
      </c>
      <c r="N190" s="2"/>
      <c r="O190" s="2"/>
      <c r="P190" s="2"/>
      <c r="Q190" s="2"/>
      <c r="R190" s="2"/>
      <c r="S190" s="2"/>
      <c r="T190" s="2"/>
      <c r="U190" s="2" t="s">
        <v>549</v>
      </c>
      <c r="V190" s="2"/>
      <c r="W190" s="2"/>
      <c r="X190" s="2"/>
      <c r="Y190" s="2"/>
      <c r="Z190" s="2"/>
      <c r="AA190" s="2"/>
      <c r="AB190" s="2"/>
      <c r="AC190" s="2"/>
      <c r="AD190" s="2"/>
      <c r="AE190" s="2"/>
      <c r="AF190" s="2"/>
      <c r="AG190" s="2" t="s">
        <v>15</v>
      </c>
      <c r="AH190" s="2"/>
      <c r="AI190" s="2" t="s">
        <v>1085</v>
      </c>
      <c r="AJ190" s="2" t="s">
        <v>1086</v>
      </c>
      <c r="AK190" s="2" t="s">
        <v>1087</v>
      </c>
      <c r="AL190" s="2" t="s">
        <v>1088</v>
      </c>
      <c r="AM190" s="2"/>
      <c r="AN190" s="2"/>
      <c r="AO190" s="2"/>
      <c r="AP190" s="2">
        <v>0.2</v>
      </c>
      <c r="AQ190" s="2" t="s">
        <v>218</v>
      </c>
    </row>
    <row r="191" spans="1:43" ht="56">
      <c r="A191" s="2" t="s">
        <v>21</v>
      </c>
      <c r="B191" s="2" t="s">
        <v>1263</v>
      </c>
      <c r="C191" s="2" t="s">
        <v>680</v>
      </c>
      <c r="D191" s="2" t="s">
        <v>1257</v>
      </c>
      <c r="E191" s="2" t="s">
        <v>185</v>
      </c>
      <c r="F191" s="2" t="s">
        <v>572</v>
      </c>
      <c r="G191" s="2" t="s">
        <v>1264</v>
      </c>
      <c r="H191" s="2">
        <v>1</v>
      </c>
      <c r="I191" s="2" t="s">
        <v>1265</v>
      </c>
      <c r="J191" s="2"/>
      <c r="K191" s="2">
        <v>1</v>
      </c>
      <c r="L191" s="2"/>
      <c r="M191" s="2" t="s">
        <v>12</v>
      </c>
      <c r="N191" s="2"/>
      <c r="O191" s="2"/>
      <c r="P191" s="2"/>
      <c r="Q191" s="2"/>
      <c r="R191" s="2"/>
      <c r="S191" s="2"/>
      <c r="T191" s="2"/>
      <c r="U191" s="2" t="s">
        <v>549</v>
      </c>
      <c r="V191" s="2"/>
      <c r="W191" s="2"/>
      <c r="X191" s="2"/>
      <c r="Y191" s="2"/>
      <c r="Z191" s="2"/>
      <c r="AA191" s="2"/>
      <c r="AB191" s="2"/>
      <c r="AC191" s="2"/>
      <c r="AD191" s="2"/>
      <c r="AE191" s="2"/>
      <c r="AF191" s="2"/>
      <c r="AG191" s="2" t="s">
        <v>15</v>
      </c>
      <c r="AH191" s="2"/>
      <c r="AI191" s="2" t="s">
        <v>1085</v>
      </c>
      <c r="AJ191" s="2" t="s">
        <v>1086</v>
      </c>
      <c r="AK191" s="2" t="s">
        <v>1087</v>
      </c>
      <c r="AL191" s="2" t="s">
        <v>1088</v>
      </c>
      <c r="AM191" s="2"/>
      <c r="AN191" s="2"/>
      <c r="AO191" s="2"/>
      <c r="AP191" s="2">
        <v>16.2</v>
      </c>
      <c r="AQ191" s="2" t="s">
        <v>218</v>
      </c>
    </row>
    <row r="192" spans="1:43" ht="56">
      <c r="A192" s="2" t="s">
        <v>21</v>
      </c>
      <c r="B192" s="2" t="s">
        <v>1266</v>
      </c>
      <c r="C192" s="2" t="s">
        <v>680</v>
      </c>
      <c r="D192" s="2" t="s">
        <v>1257</v>
      </c>
      <c r="E192" s="2" t="s">
        <v>193</v>
      </c>
      <c r="F192" s="2" t="s">
        <v>562</v>
      </c>
      <c r="G192" s="2" t="s">
        <v>1267</v>
      </c>
      <c r="H192" s="2">
        <v>15</v>
      </c>
      <c r="I192" s="2" t="s">
        <v>1268</v>
      </c>
      <c r="J192" s="2"/>
      <c r="K192" s="2">
        <v>15</v>
      </c>
      <c r="L192" s="2"/>
      <c r="M192" s="2" t="s">
        <v>12</v>
      </c>
      <c r="N192" s="2"/>
      <c r="O192" s="2"/>
      <c r="P192" s="2"/>
      <c r="Q192" s="2"/>
      <c r="R192" s="2"/>
      <c r="S192" s="2"/>
      <c r="T192" s="2"/>
      <c r="U192" s="2" t="s">
        <v>549</v>
      </c>
      <c r="V192" s="2"/>
      <c r="W192" s="2"/>
      <c r="X192" s="2"/>
      <c r="Y192" s="2"/>
      <c r="Z192" s="2"/>
      <c r="AA192" s="2"/>
      <c r="AB192" s="2"/>
      <c r="AC192" s="2"/>
      <c r="AD192" s="2"/>
      <c r="AE192" s="2"/>
      <c r="AF192" s="2"/>
      <c r="AG192" s="2" t="s">
        <v>15</v>
      </c>
      <c r="AH192" s="2"/>
      <c r="AI192" s="2" t="s">
        <v>1085</v>
      </c>
      <c r="AJ192" s="2" t="s">
        <v>1086</v>
      </c>
      <c r="AK192" s="2" t="s">
        <v>1087</v>
      </c>
      <c r="AL192" s="2" t="s">
        <v>1088</v>
      </c>
      <c r="AM192" s="2"/>
      <c r="AN192" s="2"/>
      <c r="AO192" s="2"/>
      <c r="AP192" s="2">
        <v>0.8</v>
      </c>
      <c r="AQ192" s="2" t="s">
        <v>218</v>
      </c>
    </row>
    <row r="193" spans="1:43" ht="56">
      <c r="A193" s="2" t="s">
        <v>21</v>
      </c>
      <c r="B193" s="2" t="s">
        <v>1269</v>
      </c>
      <c r="C193" s="2" t="s">
        <v>680</v>
      </c>
      <c r="D193" s="2" t="s">
        <v>1257</v>
      </c>
      <c r="E193" s="2" t="s">
        <v>193</v>
      </c>
      <c r="F193" s="2" t="s">
        <v>572</v>
      </c>
      <c r="G193" s="2" t="s">
        <v>1270</v>
      </c>
      <c r="H193" s="2">
        <v>1</v>
      </c>
      <c r="I193" s="2" t="s">
        <v>1271</v>
      </c>
      <c r="J193" s="2"/>
      <c r="K193" s="2">
        <v>1</v>
      </c>
      <c r="L193" s="2"/>
      <c r="M193" s="2" t="s">
        <v>12</v>
      </c>
      <c r="N193" s="2"/>
      <c r="O193" s="2"/>
      <c r="P193" s="2"/>
      <c r="Q193" s="2"/>
      <c r="R193" s="2"/>
      <c r="S193" s="2"/>
      <c r="T193" s="2"/>
      <c r="U193" s="2" t="s">
        <v>549</v>
      </c>
      <c r="V193" s="2"/>
      <c r="W193" s="2"/>
      <c r="X193" s="2"/>
      <c r="Y193" s="2"/>
      <c r="Z193" s="2"/>
      <c r="AA193" s="2"/>
      <c r="AB193" s="2"/>
      <c r="AC193" s="2"/>
      <c r="AD193" s="2"/>
      <c r="AE193" s="2"/>
      <c r="AF193" s="2"/>
      <c r="AG193" s="2" t="s">
        <v>15</v>
      </c>
      <c r="AH193" s="2"/>
      <c r="AI193" s="2" t="s">
        <v>1085</v>
      </c>
      <c r="AJ193" s="2" t="s">
        <v>1086</v>
      </c>
      <c r="AK193" s="2" t="s">
        <v>1087</v>
      </c>
      <c r="AL193" s="2" t="s">
        <v>1088</v>
      </c>
      <c r="AM193" s="2"/>
      <c r="AN193" s="2"/>
      <c r="AO193" s="2"/>
      <c r="AP193" s="2">
        <v>7.8</v>
      </c>
      <c r="AQ193" s="2" t="s">
        <v>218</v>
      </c>
    </row>
    <row r="194" spans="1:43" ht="42">
      <c r="A194" s="2" t="s">
        <v>21</v>
      </c>
      <c r="B194" s="2" t="s">
        <v>1272</v>
      </c>
      <c r="C194" s="2" t="s">
        <v>680</v>
      </c>
      <c r="D194" s="2" t="s">
        <v>1257</v>
      </c>
      <c r="E194" s="2" t="s">
        <v>233</v>
      </c>
      <c r="F194" s="2" t="s">
        <v>546</v>
      </c>
      <c r="G194" s="2" t="s">
        <v>1273</v>
      </c>
      <c r="H194" s="2">
        <v>1</v>
      </c>
      <c r="I194" s="2" t="s">
        <v>1274</v>
      </c>
      <c r="J194" s="2"/>
      <c r="K194" s="2" t="s">
        <v>1134</v>
      </c>
      <c r="L194" s="2"/>
      <c r="M194" s="2" t="s">
        <v>1118</v>
      </c>
      <c r="N194" s="2"/>
      <c r="O194" s="2"/>
      <c r="P194" s="2"/>
      <c r="Q194" s="2"/>
      <c r="R194" s="2"/>
      <c r="S194" s="2"/>
      <c r="T194" s="2"/>
      <c r="U194" s="2" t="s">
        <v>549</v>
      </c>
      <c r="V194" s="2"/>
      <c r="W194" s="2"/>
      <c r="X194" s="2"/>
      <c r="Y194" s="2"/>
      <c r="Z194" s="2"/>
      <c r="AA194" s="2"/>
      <c r="AB194" s="2"/>
      <c r="AC194" s="2"/>
      <c r="AD194" s="2"/>
      <c r="AE194" s="2"/>
      <c r="AF194" s="2"/>
      <c r="AG194" s="2" t="s">
        <v>15</v>
      </c>
      <c r="AH194" s="2"/>
      <c r="AI194" s="2" t="s">
        <v>1085</v>
      </c>
      <c r="AJ194" s="2" t="s">
        <v>1086</v>
      </c>
      <c r="AK194" s="2" t="s">
        <v>1087</v>
      </c>
      <c r="AL194" s="2" t="s">
        <v>1135</v>
      </c>
      <c r="AM194" s="2"/>
      <c r="AN194" s="2"/>
      <c r="AO194" s="2"/>
      <c r="AP194" s="2">
        <v>8.9</v>
      </c>
      <c r="AQ194" s="2" t="s">
        <v>218</v>
      </c>
    </row>
    <row r="195" spans="1:43" ht="126">
      <c r="A195" s="2" t="s">
        <v>21</v>
      </c>
      <c r="B195" s="2" t="s">
        <v>219</v>
      </c>
      <c r="C195" s="2" t="s">
        <v>680</v>
      </c>
      <c r="D195" s="2" t="s">
        <v>220</v>
      </c>
      <c r="E195" s="2" t="s">
        <v>193</v>
      </c>
      <c r="F195" s="2" t="s">
        <v>546</v>
      </c>
      <c r="G195" s="2" t="s">
        <v>1275</v>
      </c>
      <c r="H195" s="2">
        <v>1</v>
      </c>
      <c r="I195" s="2" t="s">
        <v>1276</v>
      </c>
      <c r="J195" s="2"/>
      <c r="K195" s="2">
        <v>1</v>
      </c>
      <c r="L195" s="2"/>
      <c r="M195" s="2" t="s">
        <v>12</v>
      </c>
      <c r="N195" s="2"/>
      <c r="O195" s="2"/>
      <c r="P195" s="2"/>
      <c r="Q195" s="2"/>
      <c r="R195" s="2"/>
      <c r="S195" s="2"/>
      <c r="T195" s="2"/>
      <c r="U195" s="2" t="s">
        <v>549</v>
      </c>
      <c r="V195" s="2"/>
      <c r="W195" s="2"/>
      <c r="X195" s="2"/>
      <c r="Y195" s="2"/>
      <c r="Z195" s="2"/>
      <c r="AA195" s="2"/>
      <c r="AB195" s="2"/>
      <c r="AC195" s="2"/>
      <c r="AD195" s="2"/>
      <c r="AE195" s="2"/>
      <c r="AF195" s="2"/>
      <c r="AG195" s="2" t="s">
        <v>13</v>
      </c>
      <c r="AH195" s="2"/>
      <c r="AI195" s="2" t="s">
        <v>1106</v>
      </c>
      <c r="AJ195" s="2" t="s">
        <v>13</v>
      </c>
      <c r="AK195" s="2" t="s">
        <v>1277</v>
      </c>
      <c r="AL195" s="2" t="s">
        <v>1278</v>
      </c>
      <c r="AM195" s="2"/>
      <c r="AN195" s="2"/>
      <c r="AO195" s="2"/>
      <c r="AP195" s="2">
        <v>0.1</v>
      </c>
      <c r="AQ195" s="2" t="s">
        <v>218</v>
      </c>
    </row>
    <row r="196" spans="1:43" ht="56">
      <c r="A196" s="2" t="s">
        <v>21</v>
      </c>
      <c r="B196" s="2" t="s">
        <v>1279</v>
      </c>
      <c r="C196" s="2" t="s">
        <v>680</v>
      </c>
      <c r="D196" s="2" t="s">
        <v>220</v>
      </c>
      <c r="E196" s="2" t="s">
        <v>200</v>
      </c>
      <c r="F196" s="2" t="s">
        <v>546</v>
      </c>
      <c r="G196" s="2" t="s">
        <v>1280</v>
      </c>
      <c r="H196" s="2">
        <v>10</v>
      </c>
      <c r="I196" s="2" t="s">
        <v>1281</v>
      </c>
      <c r="J196" s="2"/>
      <c r="K196" s="2">
        <v>10</v>
      </c>
      <c r="L196" s="2"/>
      <c r="M196" s="2" t="s">
        <v>12</v>
      </c>
      <c r="N196" s="2"/>
      <c r="O196" s="2"/>
      <c r="P196" s="2"/>
      <c r="Q196" s="2"/>
      <c r="R196" s="2"/>
      <c r="S196" s="2"/>
      <c r="T196" s="2"/>
      <c r="U196" s="2" t="s">
        <v>549</v>
      </c>
      <c r="V196" s="2"/>
      <c r="W196" s="2"/>
      <c r="X196" s="2"/>
      <c r="Y196" s="2"/>
      <c r="Z196" s="2"/>
      <c r="AA196" s="2"/>
      <c r="AB196" s="2"/>
      <c r="AC196" s="2"/>
      <c r="AD196" s="2"/>
      <c r="AE196" s="2"/>
      <c r="AF196" s="2"/>
      <c r="AG196" s="2" t="s">
        <v>15</v>
      </c>
      <c r="AH196" s="2"/>
      <c r="AI196" s="2" t="s">
        <v>1085</v>
      </c>
      <c r="AJ196" s="2" t="s">
        <v>1086</v>
      </c>
      <c r="AK196" s="2" t="s">
        <v>1087</v>
      </c>
      <c r="AL196" s="2" t="s">
        <v>1088</v>
      </c>
      <c r="AM196" s="2"/>
      <c r="AN196" s="2"/>
      <c r="AO196" s="2"/>
      <c r="AP196" s="2">
        <v>14.7</v>
      </c>
      <c r="AQ196" s="2" t="s">
        <v>218</v>
      </c>
    </row>
    <row r="197" spans="1:43" ht="56">
      <c r="A197" s="2" t="s">
        <v>21</v>
      </c>
      <c r="B197" s="2" t="s">
        <v>1282</v>
      </c>
      <c r="C197" s="2" t="s">
        <v>680</v>
      </c>
      <c r="D197" s="2" t="s">
        <v>220</v>
      </c>
      <c r="E197" s="2" t="s">
        <v>193</v>
      </c>
      <c r="F197" s="2" t="s">
        <v>546</v>
      </c>
      <c r="G197" s="2" t="s">
        <v>1283</v>
      </c>
      <c r="H197" s="2">
        <v>10</v>
      </c>
      <c r="I197" s="2" t="s">
        <v>1284</v>
      </c>
      <c r="J197" s="2"/>
      <c r="K197" s="2">
        <v>10</v>
      </c>
      <c r="L197" s="2"/>
      <c r="M197" s="2" t="s">
        <v>12</v>
      </c>
      <c r="N197" s="2"/>
      <c r="O197" s="2"/>
      <c r="P197" s="2"/>
      <c r="Q197" s="2"/>
      <c r="R197" s="2"/>
      <c r="S197" s="2"/>
      <c r="T197" s="2"/>
      <c r="U197" s="2" t="s">
        <v>549</v>
      </c>
      <c r="V197" s="2"/>
      <c r="W197" s="2"/>
      <c r="X197" s="2"/>
      <c r="Y197" s="2"/>
      <c r="Z197" s="2"/>
      <c r="AA197" s="2"/>
      <c r="AB197" s="2"/>
      <c r="AC197" s="2"/>
      <c r="AD197" s="2"/>
      <c r="AE197" s="2"/>
      <c r="AF197" s="2"/>
      <c r="AG197" s="2" t="s">
        <v>12</v>
      </c>
      <c r="AH197" s="2"/>
      <c r="AI197" s="2" t="s">
        <v>1106</v>
      </c>
      <c r="AJ197" s="2" t="s">
        <v>12</v>
      </c>
      <c r="AK197" s="2" t="s">
        <v>1285</v>
      </c>
      <c r="AL197" s="2" t="s">
        <v>1127</v>
      </c>
      <c r="AM197" s="2"/>
      <c r="AN197" s="2"/>
      <c r="AO197" s="2"/>
      <c r="AP197" s="2">
        <v>0.1</v>
      </c>
      <c r="AQ197" s="2" t="s">
        <v>218</v>
      </c>
    </row>
    <row r="198" spans="1:43" ht="42">
      <c r="A198" s="2" t="s">
        <v>21</v>
      </c>
      <c r="B198" s="2" t="s">
        <v>1286</v>
      </c>
      <c r="C198" s="2" t="s">
        <v>680</v>
      </c>
      <c r="D198" s="2" t="s">
        <v>220</v>
      </c>
      <c r="E198" s="2" t="s">
        <v>193</v>
      </c>
      <c r="F198" s="2" t="s">
        <v>562</v>
      </c>
      <c r="G198" s="2" t="s">
        <v>1287</v>
      </c>
      <c r="H198" s="2">
        <v>1</v>
      </c>
      <c r="I198" s="2" t="s">
        <v>1288</v>
      </c>
      <c r="J198" s="2"/>
      <c r="K198" s="2">
        <v>1</v>
      </c>
      <c r="L198" s="2"/>
      <c r="M198" s="2" t="s">
        <v>12</v>
      </c>
      <c r="N198" s="2"/>
      <c r="O198" s="2"/>
      <c r="P198" s="2"/>
      <c r="Q198" s="2"/>
      <c r="R198" s="2"/>
      <c r="S198" s="2"/>
      <c r="T198" s="2"/>
      <c r="U198" s="2" t="s">
        <v>549</v>
      </c>
      <c r="V198" s="2"/>
      <c r="W198" s="2"/>
      <c r="X198" s="2"/>
      <c r="Y198" s="2"/>
      <c r="Z198" s="2"/>
      <c r="AA198" s="2"/>
      <c r="AB198" s="2"/>
      <c r="AC198" s="2"/>
      <c r="AD198" s="2"/>
      <c r="AE198" s="2"/>
      <c r="AF198" s="2"/>
      <c r="AG198" s="2" t="s">
        <v>12</v>
      </c>
      <c r="AH198" s="2"/>
      <c r="AI198" s="2" t="s">
        <v>1106</v>
      </c>
      <c r="AJ198" s="2" t="s">
        <v>12</v>
      </c>
      <c r="AK198" s="2" t="s">
        <v>1289</v>
      </c>
      <c r="AL198" s="2" t="s">
        <v>1127</v>
      </c>
      <c r="AM198" s="2"/>
      <c r="AN198" s="2"/>
      <c r="AO198" s="2"/>
      <c r="AP198" s="2">
        <v>0.3</v>
      </c>
      <c r="AQ198" s="2" t="s">
        <v>218</v>
      </c>
    </row>
    <row r="199" spans="1:43" ht="56">
      <c r="A199" s="2" t="s">
        <v>21</v>
      </c>
      <c r="B199" s="2" t="s">
        <v>1290</v>
      </c>
      <c r="C199" s="2" t="s">
        <v>680</v>
      </c>
      <c r="D199" s="2" t="s">
        <v>220</v>
      </c>
      <c r="E199" s="2" t="s">
        <v>200</v>
      </c>
      <c r="F199" s="2" t="s">
        <v>562</v>
      </c>
      <c r="G199" s="2" t="s">
        <v>1291</v>
      </c>
      <c r="H199" s="2">
        <v>1</v>
      </c>
      <c r="I199" s="2" t="s">
        <v>1292</v>
      </c>
      <c r="J199" s="2"/>
      <c r="K199" s="2">
        <v>1</v>
      </c>
      <c r="L199" s="2"/>
      <c r="M199" s="2" t="s">
        <v>12</v>
      </c>
      <c r="N199" s="2"/>
      <c r="O199" s="2"/>
      <c r="P199" s="2"/>
      <c r="Q199" s="2"/>
      <c r="R199" s="2"/>
      <c r="S199" s="2"/>
      <c r="T199" s="2"/>
      <c r="U199" s="2" t="s">
        <v>549</v>
      </c>
      <c r="V199" s="2"/>
      <c r="W199" s="2"/>
      <c r="X199" s="2"/>
      <c r="Y199" s="2"/>
      <c r="Z199" s="2"/>
      <c r="AA199" s="2"/>
      <c r="AB199" s="2"/>
      <c r="AC199" s="2"/>
      <c r="AD199" s="2"/>
      <c r="AE199" s="2"/>
      <c r="AF199" s="2"/>
      <c r="AG199" s="2" t="s">
        <v>15</v>
      </c>
      <c r="AH199" s="2"/>
      <c r="AI199" s="2" t="s">
        <v>1085</v>
      </c>
      <c r="AJ199" s="2" t="s">
        <v>1086</v>
      </c>
      <c r="AK199" s="2" t="s">
        <v>1087</v>
      </c>
      <c r="AL199" s="2" t="s">
        <v>1088</v>
      </c>
      <c r="AM199" s="2"/>
      <c r="AN199" s="2"/>
      <c r="AO199" s="2"/>
      <c r="AP199" s="2">
        <v>13.3</v>
      </c>
      <c r="AQ199" s="2" t="s">
        <v>218</v>
      </c>
    </row>
    <row r="200" spans="1:43" ht="56">
      <c r="A200" s="2" t="s">
        <v>21</v>
      </c>
      <c r="B200" s="2" t="s">
        <v>1293</v>
      </c>
      <c r="C200" s="2" t="s">
        <v>680</v>
      </c>
      <c r="D200" s="2" t="s">
        <v>220</v>
      </c>
      <c r="E200" s="2" t="s">
        <v>185</v>
      </c>
      <c r="F200" s="2" t="s">
        <v>562</v>
      </c>
      <c r="G200" s="2" t="s">
        <v>1294</v>
      </c>
      <c r="H200" s="2">
        <v>15</v>
      </c>
      <c r="I200" s="2" t="s">
        <v>1295</v>
      </c>
      <c r="J200" s="2"/>
      <c r="K200" s="2">
        <v>15</v>
      </c>
      <c r="L200" s="2"/>
      <c r="M200" s="2" t="s">
        <v>12</v>
      </c>
      <c r="N200" s="2"/>
      <c r="O200" s="2"/>
      <c r="P200" s="2"/>
      <c r="Q200" s="2"/>
      <c r="R200" s="2"/>
      <c r="S200" s="2"/>
      <c r="T200" s="2"/>
      <c r="U200" s="2" t="s">
        <v>549</v>
      </c>
      <c r="V200" s="2"/>
      <c r="W200" s="2"/>
      <c r="X200" s="2"/>
      <c r="Y200" s="2"/>
      <c r="Z200" s="2"/>
      <c r="AA200" s="2"/>
      <c r="AB200" s="2"/>
      <c r="AC200" s="2"/>
      <c r="AD200" s="2"/>
      <c r="AE200" s="2"/>
      <c r="AF200" s="2"/>
      <c r="AG200" s="2" t="s">
        <v>15</v>
      </c>
      <c r="AH200" s="2"/>
      <c r="AI200" s="2" t="s">
        <v>1085</v>
      </c>
      <c r="AJ200" s="2" t="s">
        <v>1086</v>
      </c>
      <c r="AK200" s="2" t="s">
        <v>1087</v>
      </c>
      <c r="AL200" s="2" t="s">
        <v>1088</v>
      </c>
      <c r="AM200" s="2"/>
      <c r="AN200" s="2"/>
      <c r="AO200" s="2"/>
      <c r="AP200" s="2">
        <v>8.6</v>
      </c>
      <c r="AQ200" s="2" t="s">
        <v>218</v>
      </c>
    </row>
    <row r="201" spans="1:43" ht="56">
      <c r="A201" s="2" t="s">
        <v>21</v>
      </c>
      <c r="B201" s="2" t="s">
        <v>1296</v>
      </c>
      <c r="C201" s="2" t="s">
        <v>680</v>
      </c>
      <c r="D201" s="2" t="s">
        <v>220</v>
      </c>
      <c r="E201" s="2" t="s">
        <v>200</v>
      </c>
      <c r="F201" s="2" t="s">
        <v>572</v>
      </c>
      <c r="G201" s="2" t="s">
        <v>1297</v>
      </c>
      <c r="H201" s="2">
        <v>10</v>
      </c>
      <c r="I201" s="2" t="s">
        <v>1298</v>
      </c>
      <c r="J201" s="2"/>
      <c r="K201" s="2">
        <v>10</v>
      </c>
      <c r="L201" s="2"/>
      <c r="M201" s="2" t="s">
        <v>12</v>
      </c>
      <c r="N201" s="2"/>
      <c r="O201" s="2"/>
      <c r="P201" s="2"/>
      <c r="Q201" s="2"/>
      <c r="R201" s="2"/>
      <c r="S201" s="2"/>
      <c r="T201" s="2"/>
      <c r="U201" s="2" t="s">
        <v>549</v>
      </c>
      <c r="V201" s="2"/>
      <c r="W201" s="2"/>
      <c r="X201" s="2"/>
      <c r="Y201" s="2"/>
      <c r="Z201" s="2"/>
      <c r="AA201" s="2"/>
      <c r="AB201" s="2"/>
      <c r="AC201" s="2"/>
      <c r="AD201" s="2"/>
      <c r="AE201" s="2"/>
      <c r="AF201" s="2"/>
      <c r="AG201" s="2" t="s">
        <v>15</v>
      </c>
      <c r="AH201" s="2"/>
      <c r="AI201" s="2" t="s">
        <v>1085</v>
      </c>
      <c r="AJ201" s="2" t="s">
        <v>1086</v>
      </c>
      <c r="AK201" s="2" t="s">
        <v>1087</v>
      </c>
      <c r="AL201" s="2" t="s">
        <v>1088</v>
      </c>
      <c r="AM201" s="2"/>
      <c r="AN201" s="2"/>
      <c r="AO201" s="2"/>
      <c r="AP201" s="2">
        <v>0.8</v>
      </c>
      <c r="AQ201" s="2" t="s">
        <v>218</v>
      </c>
    </row>
    <row r="202" spans="1:43" ht="42">
      <c r="A202" s="2" t="s">
        <v>21</v>
      </c>
      <c r="B202" s="2" t="s">
        <v>1299</v>
      </c>
      <c r="C202" s="2" t="s">
        <v>680</v>
      </c>
      <c r="D202" s="2" t="s">
        <v>220</v>
      </c>
      <c r="E202" s="2" t="s">
        <v>233</v>
      </c>
      <c r="F202" s="2" t="s">
        <v>546</v>
      </c>
      <c r="G202" s="2" t="s">
        <v>1300</v>
      </c>
      <c r="H202" s="2">
        <v>1</v>
      </c>
      <c r="I202" s="2" t="s">
        <v>1301</v>
      </c>
      <c r="J202" s="2"/>
      <c r="K202" s="2" t="s">
        <v>1134</v>
      </c>
      <c r="L202" s="2"/>
      <c r="M202" s="2" t="s">
        <v>1118</v>
      </c>
      <c r="N202" s="2"/>
      <c r="O202" s="2"/>
      <c r="P202" s="2"/>
      <c r="Q202" s="2"/>
      <c r="R202" s="2"/>
      <c r="S202" s="2"/>
      <c r="T202" s="2"/>
      <c r="U202" s="2" t="s">
        <v>549</v>
      </c>
      <c r="V202" s="2"/>
      <c r="W202" s="2"/>
      <c r="X202" s="2"/>
      <c r="Y202" s="2"/>
      <c r="Z202" s="2"/>
      <c r="AA202" s="2"/>
      <c r="AB202" s="2"/>
      <c r="AC202" s="2"/>
      <c r="AD202" s="2"/>
      <c r="AE202" s="2"/>
      <c r="AF202" s="2"/>
      <c r="AG202" s="2" t="s">
        <v>15</v>
      </c>
      <c r="AH202" s="2"/>
      <c r="AI202" s="2" t="s">
        <v>1085</v>
      </c>
      <c r="AJ202" s="2" t="s">
        <v>1086</v>
      </c>
      <c r="AK202" s="2" t="s">
        <v>1087</v>
      </c>
      <c r="AL202" s="2" t="s">
        <v>1135</v>
      </c>
      <c r="AM202" s="2"/>
      <c r="AN202" s="2"/>
      <c r="AO202" s="2"/>
      <c r="AP202" s="2">
        <v>0.5</v>
      </c>
      <c r="AQ202" s="2" t="s">
        <v>218</v>
      </c>
    </row>
    <row r="203" spans="1:43" ht="42">
      <c r="A203" s="2" t="s">
        <v>21</v>
      </c>
      <c r="B203" s="2" t="s">
        <v>1302</v>
      </c>
      <c r="C203" s="2" t="s">
        <v>680</v>
      </c>
      <c r="D203" s="2" t="s">
        <v>1303</v>
      </c>
      <c r="E203" s="2" t="s">
        <v>233</v>
      </c>
      <c r="F203" s="2" t="s">
        <v>562</v>
      </c>
      <c r="G203" s="2" t="s">
        <v>1304</v>
      </c>
      <c r="H203" s="2">
        <v>1</v>
      </c>
      <c r="I203" s="2" t="s">
        <v>1305</v>
      </c>
      <c r="J203" s="2"/>
      <c r="K203" s="2" t="s">
        <v>1134</v>
      </c>
      <c r="L203" s="2"/>
      <c r="M203" s="2" t="s">
        <v>1118</v>
      </c>
      <c r="N203" s="2"/>
      <c r="O203" s="2"/>
      <c r="P203" s="2"/>
      <c r="Q203" s="2"/>
      <c r="R203" s="2"/>
      <c r="S203" s="2"/>
      <c r="T203" s="2"/>
      <c r="U203" s="2" t="s">
        <v>549</v>
      </c>
      <c r="V203" s="2"/>
      <c r="W203" s="2"/>
      <c r="X203" s="2"/>
      <c r="Y203" s="2"/>
      <c r="Z203" s="2"/>
      <c r="AA203" s="2"/>
      <c r="AB203" s="2"/>
      <c r="AC203" s="2"/>
      <c r="AD203" s="2"/>
      <c r="AE203" s="2"/>
      <c r="AF203" s="2"/>
      <c r="AG203" s="2" t="s">
        <v>15</v>
      </c>
      <c r="AH203" s="2"/>
      <c r="AI203" s="2" t="s">
        <v>1085</v>
      </c>
      <c r="AJ203" s="2" t="s">
        <v>1086</v>
      </c>
      <c r="AK203" s="2" t="s">
        <v>1087</v>
      </c>
      <c r="AL203" s="2" t="s">
        <v>1135</v>
      </c>
      <c r="AM203" s="2"/>
      <c r="AN203" s="2"/>
      <c r="AO203" s="2"/>
      <c r="AP203" s="2">
        <v>0.4</v>
      </c>
      <c r="AQ203" s="2" t="s">
        <v>218</v>
      </c>
    </row>
    <row r="204" spans="1:43" ht="42">
      <c r="A204" s="2" t="s">
        <v>21</v>
      </c>
      <c r="B204" s="2" t="s">
        <v>1306</v>
      </c>
      <c r="C204" s="2" t="s">
        <v>680</v>
      </c>
      <c r="D204" s="2" t="s">
        <v>1303</v>
      </c>
      <c r="E204" s="2" t="s">
        <v>233</v>
      </c>
      <c r="F204" s="2" t="s">
        <v>546</v>
      </c>
      <c r="G204" s="2" t="s">
        <v>1307</v>
      </c>
      <c r="H204" s="2">
        <v>1</v>
      </c>
      <c r="I204" s="2" t="s">
        <v>1308</v>
      </c>
      <c r="J204" s="2"/>
      <c r="K204" s="2" t="s">
        <v>1134</v>
      </c>
      <c r="L204" s="2"/>
      <c r="M204" s="2" t="s">
        <v>1118</v>
      </c>
      <c r="N204" s="2"/>
      <c r="O204" s="2"/>
      <c r="P204" s="2"/>
      <c r="Q204" s="2"/>
      <c r="R204" s="2"/>
      <c r="S204" s="2"/>
      <c r="T204" s="2"/>
      <c r="U204" s="2" t="s">
        <v>549</v>
      </c>
      <c r="V204" s="2"/>
      <c r="W204" s="2"/>
      <c r="X204" s="2"/>
      <c r="Y204" s="2"/>
      <c r="Z204" s="2"/>
      <c r="AA204" s="2"/>
      <c r="AB204" s="2"/>
      <c r="AC204" s="2"/>
      <c r="AD204" s="2"/>
      <c r="AE204" s="2"/>
      <c r="AF204" s="2"/>
      <c r="AG204" s="2" t="s">
        <v>15</v>
      </c>
      <c r="AH204" s="2"/>
      <c r="AI204" s="2" t="s">
        <v>1085</v>
      </c>
      <c r="AJ204" s="2" t="s">
        <v>1086</v>
      </c>
      <c r="AK204" s="2" t="s">
        <v>1087</v>
      </c>
      <c r="AL204" s="2" t="s">
        <v>1135</v>
      </c>
      <c r="AM204" s="2"/>
      <c r="AN204" s="2"/>
      <c r="AO204" s="2"/>
      <c r="AP204" s="2">
        <v>11.8</v>
      </c>
      <c r="AQ204" s="2" t="s">
        <v>218</v>
      </c>
    </row>
    <row r="205" spans="1:43" ht="42">
      <c r="A205" s="2" t="s">
        <v>21</v>
      </c>
      <c r="B205" s="2" t="s">
        <v>1309</v>
      </c>
      <c r="C205" s="2" t="s">
        <v>680</v>
      </c>
      <c r="D205" s="2" t="s">
        <v>1303</v>
      </c>
      <c r="E205" s="2" t="s">
        <v>233</v>
      </c>
      <c r="F205" s="2" t="s">
        <v>562</v>
      </c>
      <c r="G205" s="2" t="s">
        <v>1310</v>
      </c>
      <c r="H205" s="2">
        <v>1</v>
      </c>
      <c r="I205" s="2" t="s">
        <v>1311</v>
      </c>
      <c r="J205" s="2"/>
      <c r="K205" s="2" t="s">
        <v>1134</v>
      </c>
      <c r="L205" s="2"/>
      <c r="M205" s="2" t="s">
        <v>1118</v>
      </c>
      <c r="N205" s="2"/>
      <c r="O205" s="2"/>
      <c r="P205" s="2"/>
      <c r="Q205" s="2"/>
      <c r="R205" s="2"/>
      <c r="S205" s="2"/>
      <c r="T205" s="2"/>
      <c r="U205" s="2" t="s">
        <v>549</v>
      </c>
      <c r="V205" s="2"/>
      <c r="W205" s="2"/>
      <c r="X205" s="2"/>
      <c r="Y205" s="2"/>
      <c r="Z205" s="2"/>
      <c r="AA205" s="2"/>
      <c r="AB205" s="2"/>
      <c r="AC205" s="2"/>
      <c r="AD205" s="2"/>
      <c r="AE205" s="2"/>
      <c r="AF205" s="2"/>
      <c r="AG205" s="2" t="s">
        <v>15</v>
      </c>
      <c r="AH205" s="2"/>
      <c r="AI205" s="2" t="s">
        <v>1085</v>
      </c>
      <c r="AJ205" s="2" t="s">
        <v>1086</v>
      </c>
      <c r="AK205" s="2" t="s">
        <v>1087</v>
      </c>
      <c r="AL205" s="2" t="s">
        <v>1135</v>
      </c>
      <c r="AM205" s="2"/>
      <c r="AN205" s="2"/>
      <c r="AO205" s="2"/>
      <c r="AP205" s="2">
        <v>13.8</v>
      </c>
      <c r="AQ205" s="2" t="s">
        <v>218</v>
      </c>
    </row>
    <row r="206" spans="1:43" ht="42">
      <c r="A206" s="2" t="s">
        <v>21</v>
      </c>
      <c r="B206" s="2" t="s">
        <v>1312</v>
      </c>
      <c r="C206" s="2" t="s">
        <v>680</v>
      </c>
      <c r="D206" s="2" t="s">
        <v>1303</v>
      </c>
      <c r="E206" s="2" t="s">
        <v>233</v>
      </c>
      <c r="F206" s="2" t="s">
        <v>572</v>
      </c>
      <c r="G206" s="2" t="s">
        <v>1313</v>
      </c>
      <c r="H206" s="2">
        <v>1</v>
      </c>
      <c r="I206" s="2" t="s">
        <v>1314</v>
      </c>
      <c r="J206" s="2"/>
      <c r="K206" s="2" t="s">
        <v>1134</v>
      </c>
      <c r="L206" s="2"/>
      <c r="M206" s="2" t="s">
        <v>1118</v>
      </c>
      <c r="N206" s="2"/>
      <c r="O206" s="2"/>
      <c r="P206" s="2"/>
      <c r="Q206" s="2"/>
      <c r="R206" s="2"/>
      <c r="S206" s="2"/>
      <c r="T206" s="2"/>
      <c r="U206" s="2" t="s">
        <v>549</v>
      </c>
      <c r="V206" s="2"/>
      <c r="W206" s="2"/>
      <c r="X206" s="2"/>
      <c r="Y206" s="2"/>
      <c r="Z206" s="2"/>
      <c r="AA206" s="2"/>
      <c r="AB206" s="2"/>
      <c r="AC206" s="2"/>
      <c r="AD206" s="2"/>
      <c r="AE206" s="2"/>
      <c r="AF206" s="2"/>
      <c r="AG206" s="2" t="s">
        <v>15</v>
      </c>
      <c r="AH206" s="2"/>
      <c r="AI206" s="2" t="s">
        <v>1085</v>
      </c>
      <c r="AJ206" s="2" t="s">
        <v>1086</v>
      </c>
      <c r="AK206" s="2" t="s">
        <v>1087</v>
      </c>
      <c r="AL206" s="2" t="s">
        <v>1135</v>
      </c>
      <c r="AM206" s="2"/>
      <c r="AN206" s="2"/>
      <c r="AO206" s="2"/>
      <c r="AP206" s="2">
        <v>0.1</v>
      </c>
      <c r="AQ206" s="2" t="s">
        <v>218</v>
      </c>
    </row>
    <row r="207" spans="1:43" ht="42">
      <c r="A207" s="2" t="s">
        <v>21</v>
      </c>
      <c r="B207" s="2" t="s">
        <v>1315</v>
      </c>
      <c r="C207" s="2" t="s">
        <v>680</v>
      </c>
      <c r="D207" s="2" t="s">
        <v>1303</v>
      </c>
      <c r="E207" s="2" t="s">
        <v>193</v>
      </c>
      <c r="F207" s="2" t="s">
        <v>572</v>
      </c>
      <c r="G207" s="2" t="s">
        <v>1316</v>
      </c>
      <c r="H207" s="2">
        <v>1</v>
      </c>
      <c r="I207" s="2" t="s">
        <v>1317</v>
      </c>
      <c r="J207" s="2"/>
      <c r="K207" s="2">
        <v>1</v>
      </c>
      <c r="L207" s="2"/>
      <c r="M207" s="2" t="s">
        <v>12</v>
      </c>
      <c r="N207" s="2"/>
      <c r="O207" s="2"/>
      <c r="P207" s="2"/>
      <c r="Q207" s="2"/>
      <c r="R207" s="2"/>
      <c r="S207" s="2"/>
      <c r="T207" s="2"/>
      <c r="U207" s="2" t="s">
        <v>549</v>
      </c>
      <c r="V207" s="2"/>
      <c r="W207" s="2"/>
      <c r="X207" s="2"/>
      <c r="Y207" s="2"/>
      <c r="Z207" s="2"/>
      <c r="AA207" s="2"/>
      <c r="AB207" s="2"/>
      <c r="AC207" s="2"/>
      <c r="AD207" s="2"/>
      <c r="AE207" s="2"/>
      <c r="AF207" s="2"/>
      <c r="AG207" s="2" t="s">
        <v>12</v>
      </c>
      <c r="AH207" s="2"/>
      <c r="AI207" s="2" t="s">
        <v>1106</v>
      </c>
      <c r="AJ207" s="2" t="s">
        <v>12</v>
      </c>
      <c r="AK207" s="2" t="s">
        <v>1318</v>
      </c>
      <c r="AL207" s="2" t="s">
        <v>1127</v>
      </c>
      <c r="AM207" s="2"/>
      <c r="AN207" s="2"/>
      <c r="AO207" s="2"/>
      <c r="AP207" s="2">
        <v>0.9</v>
      </c>
      <c r="AQ207" s="2" t="s">
        <v>218</v>
      </c>
    </row>
    <row r="208" spans="1:43" ht="56">
      <c r="A208" s="2" t="s">
        <v>21</v>
      </c>
      <c r="B208" s="2" t="s">
        <v>1319</v>
      </c>
      <c r="C208" s="2" t="s">
        <v>680</v>
      </c>
      <c r="D208" s="2" t="s">
        <v>1303</v>
      </c>
      <c r="E208" s="2" t="s">
        <v>185</v>
      </c>
      <c r="F208" s="2" t="s">
        <v>562</v>
      </c>
      <c r="G208" s="2" t="s">
        <v>1320</v>
      </c>
      <c r="H208" s="2">
        <v>6</v>
      </c>
      <c r="I208" s="2" t="s">
        <v>1321</v>
      </c>
      <c r="J208" s="2"/>
      <c r="K208" s="2">
        <v>6</v>
      </c>
      <c r="L208" s="2"/>
      <c r="M208" s="2" t="s">
        <v>12</v>
      </c>
      <c r="N208" s="2"/>
      <c r="O208" s="2"/>
      <c r="P208" s="2"/>
      <c r="Q208" s="2"/>
      <c r="R208" s="2"/>
      <c r="S208" s="2"/>
      <c r="T208" s="2"/>
      <c r="U208" s="2" t="s">
        <v>549</v>
      </c>
      <c r="V208" s="2"/>
      <c r="W208" s="2"/>
      <c r="X208" s="2"/>
      <c r="Y208" s="2"/>
      <c r="Z208" s="2"/>
      <c r="AA208" s="2"/>
      <c r="AB208" s="2"/>
      <c r="AC208" s="2"/>
      <c r="AD208" s="2"/>
      <c r="AE208" s="2"/>
      <c r="AF208" s="2"/>
      <c r="AG208" s="2" t="s">
        <v>15</v>
      </c>
      <c r="AH208" s="2"/>
      <c r="AI208" s="2" t="s">
        <v>1085</v>
      </c>
      <c r="AJ208" s="2" t="s">
        <v>1086</v>
      </c>
      <c r="AK208" s="2" t="s">
        <v>1087</v>
      </c>
      <c r="AL208" s="2" t="s">
        <v>1088</v>
      </c>
      <c r="AM208" s="2"/>
      <c r="AN208" s="2"/>
      <c r="AO208" s="2"/>
      <c r="AP208" s="2">
        <v>9</v>
      </c>
      <c r="AQ208" s="2" t="s">
        <v>218</v>
      </c>
    </row>
    <row r="209" spans="1:43" ht="56">
      <c r="A209" s="2" t="s">
        <v>21</v>
      </c>
      <c r="B209" s="2" t="s">
        <v>1322</v>
      </c>
      <c r="C209" s="2" t="s">
        <v>680</v>
      </c>
      <c r="D209" s="2" t="s">
        <v>1303</v>
      </c>
      <c r="E209" s="2" t="s">
        <v>193</v>
      </c>
      <c r="F209" s="2" t="s">
        <v>562</v>
      </c>
      <c r="G209" s="2" t="s">
        <v>1323</v>
      </c>
      <c r="H209" s="2">
        <v>31</v>
      </c>
      <c r="I209" s="2" t="s">
        <v>1324</v>
      </c>
      <c r="J209" s="2"/>
      <c r="K209" s="2">
        <v>31</v>
      </c>
      <c r="L209" s="2"/>
      <c r="M209" s="2" t="s">
        <v>12</v>
      </c>
      <c r="N209" s="2"/>
      <c r="O209" s="2"/>
      <c r="P209" s="2"/>
      <c r="Q209" s="2"/>
      <c r="R209" s="2"/>
      <c r="S209" s="2"/>
      <c r="T209" s="2"/>
      <c r="U209" s="2" t="s">
        <v>549</v>
      </c>
      <c r="V209" s="2"/>
      <c r="W209" s="2"/>
      <c r="X209" s="2"/>
      <c r="Y209" s="2"/>
      <c r="Z209" s="2"/>
      <c r="AA209" s="2"/>
      <c r="AB209" s="2"/>
      <c r="AC209" s="2"/>
      <c r="AD209" s="2"/>
      <c r="AE209" s="2"/>
      <c r="AF209" s="2"/>
      <c r="AG209" s="2" t="s">
        <v>15</v>
      </c>
      <c r="AH209" s="2"/>
      <c r="AI209" s="2" t="s">
        <v>1085</v>
      </c>
      <c r="AJ209" s="2" t="s">
        <v>1086</v>
      </c>
      <c r="AK209" s="2" t="s">
        <v>1087</v>
      </c>
      <c r="AL209" s="2" t="s">
        <v>1088</v>
      </c>
      <c r="AM209" s="2"/>
      <c r="AN209" s="2"/>
      <c r="AO209" s="2"/>
      <c r="AP209" s="2">
        <v>6.1</v>
      </c>
      <c r="AQ209" s="2" t="s">
        <v>218</v>
      </c>
    </row>
    <row r="210" spans="1:43" ht="42">
      <c r="A210" s="2" t="s">
        <v>21</v>
      </c>
      <c r="B210" s="2" t="s">
        <v>1325</v>
      </c>
      <c r="C210" s="2" t="s">
        <v>680</v>
      </c>
      <c r="D210" s="2" t="s">
        <v>1303</v>
      </c>
      <c r="E210" s="2" t="s">
        <v>233</v>
      </c>
      <c r="F210" s="2" t="s">
        <v>546</v>
      </c>
      <c r="G210" s="2" t="s">
        <v>1326</v>
      </c>
      <c r="H210" s="2">
        <v>1</v>
      </c>
      <c r="I210" s="2" t="s">
        <v>1327</v>
      </c>
      <c r="J210" s="2"/>
      <c r="K210" s="2" t="s">
        <v>1134</v>
      </c>
      <c r="L210" s="2"/>
      <c r="M210" s="2" t="s">
        <v>1118</v>
      </c>
      <c r="N210" s="2"/>
      <c r="O210" s="2"/>
      <c r="P210" s="2"/>
      <c r="Q210" s="2"/>
      <c r="R210" s="2"/>
      <c r="S210" s="2"/>
      <c r="T210" s="2"/>
      <c r="U210" s="2" t="s">
        <v>549</v>
      </c>
      <c r="V210" s="2"/>
      <c r="W210" s="2"/>
      <c r="X210" s="2"/>
      <c r="Y210" s="2"/>
      <c r="Z210" s="2"/>
      <c r="AA210" s="2"/>
      <c r="AB210" s="2"/>
      <c r="AC210" s="2"/>
      <c r="AD210" s="2"/>
      <c r="AE210" s="2"/>
      <c r="AF210" s="2"/>
      <c r="AG210" s="2" t="s">
        <v>15</v>
      </c>
      <c r="AH210" s="2"/>
      <c r="AI210" s="2" t="s">
        <v>1085</v>
      </c>
      <c r="AJ210" s="2" t="s">
        <v>1086</v>
      </c>
      <c r="AK210" s="2" t="s">
        <v>1087</v>
      </c>
      <c r="AL210" s="2" t="s">
        <v>1135</v>
      </c>
      <c r="AM210" s="2"/>
      <c r="AN210" s="2"/>
      <c r="AO210" s="2"/>
      <c r="AP210" s="2">
        <v>30.2</v>
      </c>
      <c r="AQ210" s="2" t="s">
        <v>218</v>
      </c>
    </row>
    <row r="211" spans="1:43" ht="56">
      <c r="A211" s="2" t="s">
        <v>23</v>
      </c>
      <c r="B211" s="2" t="s">
        <v>1328</v>
      </c>
      <c r="C211" s="2" t="s">
        <v>545</v>
      </c>
      <c r="D211" s="2"/>
      <c r="E211" s="2" t="s">
        <v>185</v>
      </c>
      <c r="F211" s="2" t="s">
        <v>546</v>
      </c>
      <c r="G211" s="2" t="s">
        <v>1329</v>
      </c>
      <c r="H211" s="2">
        <v>1</v>
      </c>
      <c r="I211" s="2" t="s">
        <v>1330</v>
      </c>
      <c r="J211" s="2" t="s">
        <v>1330</v>
      </c>
      <c r="K211" s="2">
        <v>1</v>
      </c>
      <c r="L211" s="2">
        <v>1</v>
      </c>
      <c r="M211" s="3" t="b">
        <v>1</v>
      </c>
      <c r="N211" s="3" t="b">
        <v>1</v>
      </c>
      <c r="O211" s="3" t="b">
        <v>1</v>
      </c>
      <c r="P211" s="2">
        <v>0</v>
      </c>
      <c r="Q211" s="2">
        <v>0</v>
      </c>
      <c r="R211" s="2">
        <v>0</v>
      </c>
      <c r="S211" s="2" t="s">
        <v>1331</v>
      </c>
      <c r="T211" s="2"/>
      <c r="U211" s="2"/>
      <c r="V211" s="2" t="s">
        <v>8</v>
      </c>
      <c r="W211" s="2"/>
      <c r="X211" s="2"/>
      <c r="Y211" s="2"/>
      <c r="Z211" s="2" t="s">
        <v>8</v>
      </c>
      <c r="AA211" s="2"/>
      <c r="AB211" s="2" t="s">
        <v>8</v>
      </c>
      <c r="AC211" s="2" t="s">
        <v>8</v>
      </c>
      <c r="AD211" s="2" t="s">
        <v>8</v>
      </c>
      <c r="AE211" s="2"/>
      <c r="AF211" s="2"/>
      <c r="AG211" s="2" t="s">
        <v>8</v>
      </c>
      <c r="AH211" s="3" t="b">
        <v>0</v>
      </c>
      <c r="AI211" s="2"/>
      <c r="AJ211" s="2"/>
      <c r="AK211" s="2"/>
      <c r="AL211" s="2"/>
      <c r="AM211" s="2"/>
      <c r="AN211" s="2" t="s">
        <v>1332</v>
      </c>
      <c r="AO211" s="2"/>
      <c r="AP211" s="2"/>
      <c r="AQ211" s="2" t="s">
        <v>231</v>
      </c>
    </row>
    <row r="212" spans="1:43" ht="56">
      <c r="A212" s="2" t="s">
        <v>23</v>
      </c>
      <c r="B212" s="2" t="s">
        <v>1333</v>
      </c>
      <c r="C212" s="2" t="s">
        <v>545</v>
      </c>
      <c r="D212" s="2"/>
      <c r="E212" s="2" t="s">
        <v>193</v>
      </c>
      <c r="F212" s="2" t="s">
        <v>572</v>
      </c>
      <c r="G212" s="2" t="s">
        <v>1334</v>
      </c>
      <c r="H212" s="2">
        <v>2</v>
      </c>
      <c r="I212" s="2" t="s">
        <v>1335</v>
      </c>
      <c r="J212" s="2" t="s">
        <v>1335</v>
      </c>
      <c r="K212" s="2">
        <v>2</v>
      </c>
      <c r="L212" s="2">
        <v>2</v>
      </c>
      <c r="M212" s="3" t="b">
        <v>1</v>
      </c>
      <c r="N212" s="3" t="b">
        <v>1</v>
      </c>
      <c r="O212" s="3" t="b">
        <v>1</v>
      </c>
      <c r="P212" s="2">
        <v>0</v>
      </c>
      <c r="Q212" s="2">
        <v>0</v>
      </c>
      <c r="R212" s="2">
        <v>0</v>
      </c>
      <c r="S212" s="2" t="s">
        <v>1331</v>
      </c>
      <c r="T212" s="2"/>
      <c r="U212" s="2"/>
      <c r="V212" s="2" t="s">
        <v>8</v>
      </c>
      <c r="W212" s="2"/>
      <c r="X212" s="2"/>
      <c r="Y212" s="2"/>
      <c r="Z212" s="2" t="s">
        <v>8</v>
      </c>
      <c r="AA212" s="2"/>
      <c r="AB212" s="2" t="s">
        <v>8</v>
      </c>
      <c r="AC212" s="2" t="s">
        <v>8</v>
      </c>
      <c r="AD212" s="2" t="s">
        <v>8</v>
      </c>
      <c r="AE212" s="2"/>
      <c r="AF212" s="2"/>
      <c r="AG212" s="2" t="s">
        <v>8</v>
      </c>
      <c r="AH212" s="3" t="b">
        <v>0</v>
      </c>
      <c r="AI212" s="2"/>
      <c r="AJ212" s="2"/>
      <c r="AK212" s="2"/>
      <c r="AL212" s="2"/>
      <c r="AM212" s="2"/>
      <c r="AN212" s="2" t="s">
        <v>1336</v>
      </c>
      <c r="AO212" s="2"/>
      <c r="AP212" s="2"/>
      <c r="AQ212" s="2" t="s">
        <v>231</v>
      </c>
    </row>
    <row r="213" spans="1:43" ht="56">
      <c r="A213" s="2" t="s">
        <v>23</v>
      </c>
      <c r="B213" s="2" t="s">
        <v>1337</v>
      </c>
      <c r="C213" s="2" t="s">
        <v>545</v>
      </c>
      <c r="D213" s="2"/>
      <c r="E213" s="2" t="s">
        <v>193</v>
      </c>
      <c r="F213" s="2" t="s">
        <v>562</v>
      </c>
      <c r="G213" s="2" t="s">
        <v>1338</v>
      </c>
      <c r="H213" s="2">
        <v>5</v>
      </c>
      <c r="I213" s="2" t="s">
        <v>1339</v>
      </c>
      <c r="J213" s="2" t="s">
        <v>1339</v>
      </c>
      <c r="K213" s="2">
        <v>5</v>
      </c>
      <c r="L213" s="2">
        <v>5</v>
      </c>
      <c r="M213" s="3" t="b">
        <v>1</v>
      </c>
      <c r="N213" s="3" t="b">
        <v>1</v>
      </c>
      <c r="O213" s="3" t="b">
        <v>1</v>
      </c>
      <c r="P213" s="2">
        <v>0</v>
      </c>
      <c r="Q213" s="2">
        <v>0</v>
      </c>
      <c r="R213" s="2">
        <v>0</v>
      </c>
      <c r="S213" s="2" t="s">
        <v>1331</v>
      </c>
      <c r="T213" s="2"/>
      <c r="U213" s="2"/>
      <c r="V213" s="2" t="s">
        <v>8</v>
      </c>
      <c r="W213" s="2"/>
      <c r="X213" s="2"/>
      <c r="Y213" s="2"/>
      <c r="Z213" s="2" t="s">
        <v>8</v>
      </c>
      <c r="AA213" s="2"/>
      <c r="AB213" s="2" t="s">
        <v>8</v>
      </c>
      <c r="AC213" s="2" t="s">
        <v>8</v>
      </c>
      <c r="AD213" s="2" t="s">
        <v>8</v>
      </c>
      <c r="AE213" s="2"/>
      <c r="AF213" s="2"/>
      <c r="AG213" s="2" t="s">
        <v>8</v>
      </c>
      <c r="AH213" s="3" t="b">
        <v>0</v>
      </c>
      <c r="AI213" s="2"/>
      <c r="AJ213" s="2"/>
      <c r="AK213" s="2"/>
      <c r="AL213" s="2"/>
      <c r="AM213" s="2"/>
      <c r="AN213" s="2" t="s">
        <v>1340</v>
      </c>
      <c r="AO213" s="2"/>
      <c r="AP213" s="2"/>
      <c r="AQ213" s="2" t="s">
        <v>231</v>
      </c>
    </row>
    <row r="214" spans="1:43" ht="56">
      <c r="A214" s="2" t="s">
        <v>23</v>
      </c>
      <c r="B214" s="2" t="s">
        <v>1341</v>
      </c>
      <c r="C214" s="2" t="s">
        <v>545</v>
      </c>
      <c r="D214" s="2"/>
      <c r="E214" s="2" t="s">
        <v>193</v>
      </c>
      <c r="F214" s="2" t="s">
        <v>562</v>
      </c>
      <c r="G214" s="2" t="s">
        <v>1342</v>
      </c>
      <c r="H214" s="2">
        <v>15</v>
      </c>
      <c r="I214" s="2" t="s">
        <v>1343</v>
      </c>
      <c r="J214" s="2" t="s">
        <v>1343</v>
      </c>
      <c r="K214" s="2">
        <v>15</v>
      </c>
      <c r="L214" s="2">
        <v>15</v>
      </c>
      <c r="M214" s="3" t="b">
        <v>1</v>
      </c>
      <c r="N214" s="3" t="b">
        <v>1</v>
      </c>
      <c r="O214" s="3" t="b">
        <v>1</v>
      </c>
      <c r="P214" s="2">
        <v>0</v>
      </c>
      <c r="Q214" s="2">
        <v>0</v>
      </c>
      <c r="R214" s="2">
        <v>0</v>
      </c>
      <c r="S214" s="2" t="s">
        <v>1331</v>
      </c>
      <c r="T214" s="2"/>
      <c r="U214" s="2"/>
      <c r="V214" s="2" t="s">
        <v>8</v>
      </c>
      <c r="W214" s="2"/>
      <c r="X214" s="2"/>
      <c r="Y214" s="2"/>
      <c r="Z214" s="2" t="s">
        <v>8</v>
      </c>
      <c r="AA214" s="2"/>
      <c r="AB214" s="2" t="s">
        <v>8</v>
      </c>
      <c r="AC214" s="2" t="s">
        <v>8</v>
      </c>
      <c r="AD214" s="2" t="s">
        <v>8</v>
      </c>
      <c r="AE214" s="2"/>
      <c r="AF214" s="2"/>
      <c r="AG214" s="2" t="s">
        <v>8</v>
      </c>
      <c r="AH214" s="3" t="b">
        <v>0</v>
      </c>
      <c r="AI214" s="2"/>
      <c r="AJ214" s="2"/>
      <c r="AK214" s="2"/>
      <c r="AL214" s="2"/>
      <c r="AM214" s="2"/>
      <c r="AN214" s="2" t="s">
        <v>1344</v>
      </c>
      <c r="AO214" s="2"/>
      <c r="AP214" s="2"/>
      <c r="AQ214" s="2" t="s">
        <v>231</v>
      </c>
    </row>
    <row r="215" spans="1:43" ht="56">
      <c r="A215" s="2" t="s">
        <v>23</v>
      </c>
      <c r="B215" s="2" t="s">
        <v>1345</v>
      </c>
      <c r="C215" s="2" t="s">
        <v>545</v>
      </c>
      <c r="D215" s="2"/>
      <c r="E215" s="2" t="s">
        <v>193</v>
      </c>
      <c r="F215" s="2" t="s">
        <v>572</v>
      </c>
      <c r="G215" s="2" t="s">
        <v>1346</v>
      </c>
      <c r="H215" s="2">
        <v>1</v>
      </c>
      <c r="I215" s="2" t="s">
        <v>1347</v>
      </c>
      <c r="J215" s="2" t="s">
        <v>1347</v>
      </c>
      <c r="K215" s="2">
        <v>1</v>
      </c>
      <c r="L215" s="2">
        <v>1</v>
      </c>
      <c r="M215" s="3" t="b">
        <v>1</v>
      </c>
      <c r="N215" s="3" t="b">
        <v>1</v>
      </c>
      <c r="O215" s="3" t="b">
        <v>1</v>
      </c>
      <c r="P215" s="2">
        <v>0</v>
      </c>
      <c r="Q215" s="2">
        <v>0</v>
      </c>
      <c r="R215" s="2">
        <v>0</v>
      </c>
      <c r="S215" s="2" t="s">
        <v>1331</v>
      </c>
      <c r="T215" s="2"/>
      <c r="U215" s="2"/>
      <c r="V215" s="2" t="s">
        <v>8</v>
      </c>
      <c r="W215" s="2"/>
      <c r="X215" s="2"/>
      <c r="Y215" s="2"/>
      <c r="Z215" s="2" t="s">
        <v>8</v>
      </c>
      <c r="AA215" s="2"/>
      <c r="AB215" s="2" t="s">
        <v>8</v>
      </c>
      <c r="AC215" s="2" t="s">
        <v>8</v>
      </c>
      <c r="AD215" s="2" t="s">
        <v>8</v>
      </c>
      <c r="AE215" s="2"/>
      <c r="AF215" s="2"/>
      <c r="AG215" s="2" t="s">
        <v>8</v>
      </c>
      <c r="AH215" s="3" t="b">
        <v>0</v>
      </c>
      <c r="AI215" s="2"/>
      <c r="AJ215" s="2"/>
      <c r="AK215" s="2"/>
      <c r="AL215" s="2"/>
      <c r="AM215" s="2"/>
      <c r="AN215" s="2" t="s">
        <v>1332</v>
      </c>
      <c r="AO215" s="2"/>
      <c r="AP215" s="2"/>
      <c r="AQ215" s="2" t="s">
        <v>231</v>
      </c>
    </row>
    <row r="216" spans="1:43" ht="56">
      <c r="A216" s="2" t="s">
        <v>23</v>
      </c>
      <c r="B216" s="2" t="s">
        <v>1348</v>
      </c>
      <c r="C216" s="2" t="s">
        <v>545</v>
      </c>
      <c r="D216" s="2"/>
      <c r="E216" s="2" t="s">
        <v>200</v>
      </c>
      <c r="F216" s="2" t="s">
        <v>562</v>
      </c>
      <c r="G216" s="2" t="s">
        <v>1349</v>
      </c>
      <c r="H216" s="2">
        <v>4</v>
      </c>
      <c r="I216" s="2" t="s">
        <v>1350</v>
      </c>
      <c r="J216" s="2" t="s">
        <v>1350</v>
      </c>
      <c r="K216" s="2">
        <v>4</v>
      </c>
      <c r="L216" s="2">
        <v>4</v>
      </c>
      <c r="M216" s="3" t="b">
        <v>1</v>
      </c>
      <c r="N216" s="3" t="b">
        <v>1</v>
      </c>
      <c r="O216" s="3" t="b">
        <v>1</v>
      </c>
      <c r="P216" s="2">
        <v>0</v>
      </c>
      <c r="Q216" s="2">
        <v>0</v>
      </c>
      <c r="R216" s="2">
        <v>0</v>
      </c>
      <c r="S216" s="2" t="s">
        <v>1331</v>
      </c>
      <c r="T216" s="2"/>
      <c r="U216" s="2"/>
      <c r="V216" s="2" t="s">
        <v>8</v>
      </c>
      <c r="W216" s="2"/>
      <c r="X216" s="2"/>
      <c r="Y216" s="2"/>
      <c r="Z216" s="2" t="s">
        <v>8</v>
      </c>
      <c r="AA216" s="2"/>
      <c r="AB216" s="2" t="s">
        <v>8</v>
      </c>
      <c r="AC216" s="2" t="s">
        <v>8</v>
      </c>
      <c r="AD216" s="2" t="s">
        <v>8</v>
      </c>
      <c r="AE216" s="2"/>
      <c r="AF216" s="2"/>
      <c r="AG216" s="2" t="s">
        <v>8</v>
      </c>
      <c r="AH216" s="3" t="b">
        <v>0</v>
      </c>
      <c r="AI216" s="2"/>
      <c r="AJ216" s="2"/>
      <c r="AK216" s="2"/>
      <c r="AL216" s="2"/>
      <c r="AM216" s="2"/>
      <c r="AN216" s="2" t="s">
        <v>1351</v>
      </c>
      <c r="AO216" s="2"/>
      <c r="AP216" s="2"/>
      <c r="AQ216" s="2" t="s">
        <v>231</v>
      </c>
    </row>
    <row r="217" spans="1:43" ht="56">
      <c r="A217" s="2" t="s">
        <v>23</v>
      </c>
      <c r="B217" s="2" t="s">
        <v>1352</v>
      </c>
      <c r="C217" s="2" t="s">
        <v>545</v>
      </c>
      <c r="D217" s="2"/>
      <c r="E217" s="2" t="s">
        <v>233</v>
      </c>
      <c r="F217" s="2" t="s">
        <v>572</v>
      </c>
      <c r="G217" s="2" t="s">
        <v>1353</v>
      </c>
      <c r="H217" s="2">
        <v>1</v>
      </c>
      <c r="I217" s="2" t="s">
        <v>1354</v>
      </c>
      <c r="J217" s="2" t="s">
        <v>1354</v>
      </c>
      <c r="K217" s="2"/>
      <c r="L217" s="2"/>
      <c r="M217" s="2"/>
      <c r="N217" s="2"/>
      <c r="O217" s="3" t="b">
        <v>1</v>
      </c>
      <c r="P217" s="2"/>
      <c r="Q217" s="2"/>
      <c r="R217" s="2"/>
      <c r="S217" s="2" t="s">
        <v>1331</v>
      </c>
      <c r="T217" s="2"/>
      <c r="U217" s="2"/>
      <c r="V217" s="2" t="s">
        <v>8</v>
      </c>
      <c r="W217" s="2"/>
      <c r="X217" s="2"/>
      <c r="Y217" s="2"/>
      <c r="Z217" s="2" t="s">
        <v>8</v>
      </c>
      <c r="AA217" s="2"/>
      <c r="AB217" s="2" t="s">
        <v>8</v>
      </c>
      <c r="AC217" s="2" t="s">
        <v>8</v>
      </c>
      <c r="AD217" s="2" t="s">
        <v>8</v>
      </c>
      <c r="AE217" s="2"/>
      <c r="AF217" s="2"/>
      <c r="AG217" s="2" t="s">
        <v>8</v>
      </c>
      <c r="AH217" s="3" t="b">
        <v>0</v>
      </c>
      <c r="AI217" s="2"/>
      <c r="AJ217" s="2"/>
      <c r="AK217" s="2"/>
      <c r="AL217" s="2"/>
      <c r="AM217" s="2"/>
      <c r="AN217" s="2" t="s">
        <v>1355</v>
      </c>
      <c r="AO217" s="2"/>
      <c r="AP217" s="2"/>
      <c r="AQ217" s="2" t="s">
        <v>231</v>
      </c>
    </row>
    <row r="218" spans="1:43" ht="56">
      <c r="A218" s="2" t="s">
        <v>23</v>
      </c>
      <c r="B218" s="2" t="s">
        <v>1356</v>
      </c>
      <c r="C218" s="2" t="s">
        <v>545</v>
      </c>
      <c r="D218" s="2"/>
      <c r="E218" s="2" t="s">
        <v>185</v>
      </c>
      <c r="F218" s="2" t="s">
        <v>546</v>
      </c>
      <c r="G218" s="2" t="s">
        <v>1357</v>
      </c>
      <c r="H218" s="2">
        <v>2</v>
      </c>
      <c r="I218" s="2" t="s">
        <v>1358</v>
      </c>
      <c r="J218" s="2" t="s">
        <v>1358</v>
      </c>
      <c r="K218" s="2">
        <v>2</v>
      </c>
      <c r="L218" s="2">
        <v>2</v>
      </c>
      <c r="M218" s="3" t="b">
        <v>1</v>
      </c>
      <c r="N218" s="3" t="b">
        <v>1</v>
      </c>
      <c r="O218" s="3" t="b">
        <v>1</v>
      </c>
      <c r="P218" s="2">
        <v>0</v>
      </c>
      <c r="Q218" s="2">
        <v>0</v>
      </c>
      <c r="R218" s="2">
        <v>0</v>
      </c>
      <c r="S218" s="2" t="s">
        <v>1331</v>
      </c>
      <c r="T218" s="2"/>
      <c r="U218" s="2"/>
      <c r="V218" s="2" t="s">
        <v>8</v>
      </c>
      <c r="W218" s="2"/>
      <c r="X218" s="2"/>
      <c r="Y218" s="2"/>
      <c r="Z218" s="2" t="s">
        <v>8</v>
      </c>
      <c r="AA218" s="2"/>
      <c r="AB218" s="2" t="s">
        <v>8</v>
      </c>
      <c r="AC218" s="2" t="s">
        <v>8</v>
      </c>
      <c r="AD218" s="2" t="s">
        <v>8</v>
      </c>
      <c r="AE218" s="2"/>
      <c r="AF218" s="2"/>
      <c r="AG218" s="2" t="s">
        <v>8</v>
      </c>
      <c r="AH218" s="3" t="b">
        <v>0</v>
      </c>
      <c r="AI218" s="2"/>
      <c r="AJ218" s="2"/>
      <c r="AK218" s="2"/>
      <c r="AL218" s="2"/>
      <c r="AM218" s="2"/>
      <c r="AN218" s="2" t="s">
        <v>1336</v>
      </c>
      <c r="AO218" s="2"/>
      <c r="AP218" s="2"/>
      <c r="AQ218" s="2" t="s">
        <v>231</v>
      </c>
    </row>
    <row r="219" spans="1:43" ht="84">
      <c r="A219" s="2" t="s">
        <v>23</v>
      </c>
      <c r="B219" s="2" t="s">
        <v>1359</v>
      </c>
      <c r="C219" s="2" t="s">
        <v>545</v>
      </c>
      <c r="D219" s="2"/>
      <c r="E219" s="2" t="s">
        <v>185</v>
      </c>
      <c r="F219" s="2" t="s">
        <v>546</v>
      </c>
      <c r="G219" s="2" t="s">
        <v>1360</v>
      </c>
      <c r="H219" s="2">
        <v>1</v>
      </c>
      <c r="I219" s="2" t="s">
        <v>1361</v>
      </c>
      <c r="J219" s="2" t="s">
        <v>1361</v>
      </c>
      <c r="K219" s="2">
        <v>1</v>
      </c>
      <c r="L219" s="2">
        <v>1</v>
      </c>
      <c r="M219" s="3" t="b">
        <v>1</v>
      </c>
      <c r="N219" s="3" t="b">
        <v>1</v>
      </c>
      <c r="O219" s="3" t="b">
        <v>1</v>
      </c>
      <c r="P219" s="2">
        <v>0</v>
      </c>
      <c r="Q219" s="2">
        <v>0</v>
      </c>
      <c r="R219" s="2">
        <v>0</v>
      </c>
      <c r="S219" s="2" t="s">
        <v>1331</v>
      </c>
      <c r="T219" s="2"/>
      <c r="U219" s="2"/>
      <c r="V219" s="2" t="s">
        <v>8</v>
      </c>
      <c r="W219" s="2"/>
      <c r="X219" s="2"/>
      <c r="Y219" s="2"/>
      <c r="Z219" s="2" t="s">
        <v>8</v>
      </c>
      <c r="AA219" s="2"/>
      <c r="AB219" s="2" t="s">
        <v>8</v>
      </c>
      <c r="AC219" s="2" t="s">
        <v>8</v>
      </c>
      <c r="AD219" s="2" t="s">
        <v>8</v>
      </c>
      <c r="AE219" s="2"/>
      <c r="AF219" s="2"/>
      <c r="AG219" s="2" t="s">
        <v>8</v>
      </c>
      <c r="AH219" s="3" t="b">
        <v>0</v>
      </c>
      <c r="AI219" s="2"/>
      <c r="AJ219" s="2"/>
      <c r="AK219" s="2"/>
      <c r="AL219" s="2"/>
      <c r="AM219" s="2"/>
      <c r="AN219" s="2" t="s">
        <v>1332</v>
      </c>
      <c r="AO219" s="2"/>
      <c r="AP219" s="2"/>
      <c r="AQ219" s="2" t="s">
        <v>231</v>
      </c>
    </row>
    <row r="220" spans="1:43" ht="56">
      <c r="A220" s="2" t="s">
        <v>23</v>
      </c>
      <c r="B220" s="2" t="s">
        <v>224</v>
      </c>
      <c r="C220" s="2" t="s">
        <v>545</v>
      </c>
      <c r="D220" s="2"/>
      <c r="E220" s="2" t="s">
        <v>193</v>
      </c>
      <c r="F220" s="2" t="s">
        <v>546</v>
      </c>
      <c r="G220" s="2" t="s">
        <v>226</v>
      </c>
      <c r="H220" s="2">
        <v>21</v>
      </c>
      <c r="I220" s="2" t="s">
        <v>1362</v>
      </c>
      <c r="J220" s="2" t="s">
        <v>1362</v>
      </c>
      <c r="K220" s="2">
        <v>21</v>
      </c>
      <c r="L220" s="2">
        <v>21</v>
      </c>
      <c r="M220" s="3" t="b">
        <v>1</v>
      </c>
      <c r="N220" s="3" t="b">
        <v>1</v>
      </c>
      <c r="O220" s="3" t="b">
        <v>1</v>
      </c>
      <c r="P220" s="2">
        <v>0</v>
      </c>
      <c r="Q220" s="2">
        <v>21</v>
      </c>
      <c r="R220" s="2">
        <v>0</v>
      </c>
      <c r="S220" s="2" t="s">
        <v>1331</v>
      </c>
      <c r="T220" s="2"/>
      <c r="U220" s="2"/>
      <c r="V220" s="2" t="s">
        <v>8</v>
      </c>
      <c r="W220" s="2"/>
      <c r="X220" s="2"/>
      <c r="Y220" s="2"/>
      <c r="Z220" s="2" t="s">
        <v>10</v>
      </c>
      <c r="AA220" s="2"/>
      <c r="AB220" s="2" t="s">
        <v>10</v>
      </c>
      <c r="AC220" s="2" t="s">
        <v>8</v>
      </c>
      <c r="AD220" s="2" t="s">
        <v>8</v>
      </c>
      <c r="AE220" s="2"/>
      <c r="AF220" s="2"/>
      <c r="AG220" s="2" t="s">
        <v>10</v>
      </c>
      <c r="AH220" s="3" t="b">
        <v>0</v>
      </c>
      <c r="AI220" s="2"/>
      <c r="AJ220" s="2"/>
      <c r="AK220" s="2"/>
      <c r="AL220" s="2"/>
      <c r="AM220" s="2"/>
      <c r="AN220" s="2" t="s">
        <v>227</v>
      </c>
      <c r="AO220" s="2"/>
      <c r="AP220" s="2"/>
      <c r="AQ220" s="2" t="s">
        <v>231</v>
      </c>
    </row>
    <row r="221" spans="1:43" ht="56">
      <c r="A221" s="2" t="s">
        <v>23</v>
      </c>
      <c r="B221" s="2" t="s">
        <v>1363</v>
      </c>
      <c r="C221" s="2" t="s">
        <v>545</v>
      </c>
      <c r="D221" s="2"/>
      <c r="E221" s="2" t="s">
        <v>193</v>
      </c>
      <c r="F221" s="2" t="s">
        <v>546</v>
      </c>
      <c r="G221" s="2" t="s">
        <v>1364</v>
      </c>
      <c r="H221" s="2">
        <v>2</v>
      </c>
      <c r="I221" s="2" t="s">
        <v>1365</v>
      </c>
      <c r="J221" s="2" t="s">
        <v>1365</v>
      </c>
      <c r="K221" s="2">
        <v>2</v>
      </c>
      <c r="L221" s="2">
        <v>2</v>
      </c>
      <c r="M221" s="3" t="b">
        <v>1</v>
      </c>
      <c r="N221" s="3" t="b">
        <v>1</v>
      </c>
      <c r="O221" s="3" t="b">
        <v>1</v>
      </c>
      <c r="P221" s="2">
        <v>0</v>
      </c>
      <c r="Q221" s="2">
        <v>1</v>
      </c>
      <c r="R221" s="2">
        <v>0</v>
      </c>
      <c r="S221" s="2" t="s">
        <v>1331</v>
      </c>
      <c r="T221" s="2"/>
      <c r="U221" s="2"/>
      <c r="V221" s="2" t="s">
        <v>8</v>
      </c>
      <c r="W221" s="2"/>
      <c r="X221" s="2"/>
      <c r="Y221" s="2"/>
      <c r="Z221" s="2" t="s">
        <v>8</v>
      </c>
      <c r="AA221" s="2"/>
      <c r="AB221" s="2" t="s">
        <v>8</v>
      </c>
      <c r="AC221" s="2" t="s">
        <v>8</v>
      </c>
      <c r="AD221" s="2" t="s">
        <v>8</v>
      </c>
      <c r="AE221" s="2"/>
      <c r="AF221" s="2"/>
      <c r="AG221" s="2" t="s">
        <v>8</v>
      </c>
      <c r="AH221" s="3" t="b">
        <v>0</v>
      </c>
      <c r="AI221" s="2"/>
      <c r="AJ221" s="2"/>
      <c r="AK221" s="2"/>
      <c r="AL221" s="2"/>
      <c r="AM221" s="2"/>
      <c r="AN221" s="2" t="s">
        <v>1336</v>
      </c>
      <c r="AO221" s="2"/>
      <c r="AP221" s="2"/>
      <c r="AQ221" s="2" t="s">
        <v>231</v>
      </c>
    </row>
    <row r="222" spans="1:43" ht="56">
      <c r="A222" s="2" t="s">
        <v>23</v>
      </c>
      <c r="B222" s="2" t="s">
        <v>1366</v>
      </c>
      <c r="C222" s="2" t="s">
        <v>545</v>
      </c>
      <c r="D222" s="2"/>
      <c r="E222" s="2" t="s">
        <v>193</v>
      </c>
      <c r="F222" s="2" t="s">
        <v>562</v>
      </c>
      <c r="G222" s="2" t="s">
        <v>1367</v>
      </c>
      <c r="H222" s="2">
        <v>8</v>
      </c>
      <c r="I222" s="2" t="s">
        <v>1368</v>
      </c>
      <c r="J222" s="2" t="s">
        <v>1368</v>
      </c>
      <c r="K222" s="2">
        <v>8</v>
      </c>
      <c r="L222" s="2">
        <v>8</v>
      </c>
      <c r="M222" s="3" t="b">
        <v>1</v>
      </c>
      <c r="N222" s="3" t="b">
        <v>1</v>
      </c>
      <c r="O222" s="3" t="b">
        <v>1</v>
      </c>
      <c r="P222" s="2">
        <v>0</v>
      </c>
      <c r="Q222" s="2">
        <v>0</v>
      </c>
      <c r="R222" s="2">
        <v>0</v>
      </c>
      <c r="S222" s="2" t="s">
        <v>1331</v>
      </c>
      <c r="T222" s="2"/>
      <c r="U222" s="2"/>
      <c r="V222" s="2" t="s">
        <v>8</v>
      </c>
      <c r="W222" s="2"/>
      <c r="X222" s="2"/>
      <c r="Y222" s="2"/>
      <c r="Z222" s="2" t="s">
        <v>8</v>
      </c>
      <c r="AA222" s="2"/>
      <c r="AB222" s="2" t="s">
        <v>8</v>
      </c>
      <c r="AC222" s="2" t="s">
        <v>8</v>
      </c>
      <c r="AD222" s="2" t="s">
        <v>8</v>
      </c>
      <c r="AE222" s="2"/>
      <c r="AF222" s="2"/>
      <c r="AG222" s="2" t="s">
        <v>8</v>
      </c>
      <c r="AH222" s="3" t="b">
        <v>0</v>
      </c>
      <c r="AI222" s="2"/>
      <c r="AJ222" s="2"/>
      <c r="AK222" s="2"/>
      <c r="AL222" s="2"/>
      <c r="AM222" s="2"/>
      <c r="AN222" s="2" t="s">
        <v>1369</v>
      </c>
      <c r="AO222" s="2"/>
      <c r="AP222" s="2"/>
      <c r="AQ222" s="2" t="s">
        <v>231</v>
      </c>
    </row>
    <row r="223" spans="1:43" ht="56">
      <c r="A223" s="2" t="s">
        <v>23</v>
      </c>
      <c r="B223" s="2" t="s">
        <v>1370</v>
      </c>
      <c r="C223" s="2" t="s">
        <v>545</v>
      </c>
      <c r="D223" s="2"/>
      <c r="E223" s="2" t="s">
        <v>193</v>
      </c>
      <c r="F223" s="2" t="s">
        <v>572</v>
      </c>
      <c r="G223" s="2" t="s">
        <v>1371</v>
      </c>
      <c r="H223" s="2">
        <v>3</v>
      </c>
      <c r="I223" s="2" t="s">
        <v>1372</v>
      </c>
      <c r="J223" s="2" t="s">
        <v>1372</v>
      </c>
      <c r="K223" s="2">
        <v>3</v>
      </c>
      <c r="L223" s="2">
        <v>3</v>
      </c>
      <c r="M223" s="3" t="b">
        <v>1</v>
      </c>
      <c r="N223" s="3" t="b">
        <v>1</v>
      </c>
      <c r="O223" s="3" t="b">
        <v>1</v>
      </c>
      <c r="P223" s="2">
        <v>0</v>
      </c>
      <c r="Q223" s="2">
        <v>0</v>
      </c>
      <c r="R223" s="2">
        <v>0</v>
      </c>
      <c r="S223" s="2" t="s">
        <v>1331</v>
      </c>
      <c r="T223" s="2"/>
      <c r="U223" s="2"/>
      <c r="V223" s="2" t="s">
        <v>8</v>
      </c>
      <c r="W223" s="2"/>
      <c r="X223" s="2"/>
      <c r="Y223" s="2"/>
      <c r="Z223" s="2" t="s">
        <v>8</v>
      </c>
      <c r="AA223" s="2"/>
      <c r="AB223" s="2" t="s">
        <v>8</v>
      </c>
      <c r="AC223" s="2" t="s">
        <v>8</v>
      </c>
      <c r="AD223" s="2" t="s">
        <v>8</v>
      </c>
      <c r="AE223" s="2"/>
      <c r="AF223" s="2"/>
      <c r="AG223" s="2" t="s">
        <v>8</v>
      </c>
      <c r="AH223" s="3" t="b">
        <v>0</v>
      </c>
      <c r="AI223" s="2"/>
      <c r="AJ223" s="2"/>
      <c r="AK223" s="2"/>
      <c r="AL223" s="2"/>
      <c r="AM223" s="2"/>
      <c r="AN223" s="2" t="s">
        <v>1373</v>
      </c>
      <c r="AO223" s="2"/>
      <c r="AP223" s="2"/>
      <c r="AQ223" s="2" t="s">
        <v>231</v>
      </c>
    </row>
    <row r="224" spans="1:43" ht="56">
      <c r="A224" s="2" t="s">
        <v>23</v>
      </c>
      <c r="B224" s="2" t="s">
        <v>1374</v>
      </c>
      <c r="C224" s="2" t="s">
        <v>545</v>
      </c>
      <c r="D224" s="2"/>
      <c r="E224" s="2" t="s">
        <v>193</v>
      </c>
      <c r="F224" s="2" t="s">
        <v>562</v>
      </c>
      <c r="G224" s="2" t="s">
        <v>1375</v>
      </c>
      <c r="H224" s="2">
        <v>2</v>
      </c>
      <c r="I224" s="2" t="s">
        <v>1376</v>
      </c>
      <c r="J224" s="2" t="s">
        <v>1376</v>
      </c>
      <c r="K224" s="2">
        <v>2</v>
      </c>
      <c r="L224" s="2">
        <v>2</v>
      </c>
      <c r="M224" s="3" t="b">
        <v>1</v>
      </c>
      <c r="N224" s="3" t="b">
        <v>1</v>
      </c>
      <c r="O224" s="3" t="b">
        <v>1</v>
      </c>
      <c r="P224" s="2">
        <v>0</v>
      </c>
      <c r="Q224" s="2">
        <v>0</v>
      </c>
      <c r="R224" s="2">
        <v>0</v>
      </c>
      <c r="S224" s="2" t="s">
        <v>1331</v>
      </c>
      <c r="T224" s="2"/>
      <c r="U224" s="2"/>
      <c r="V224" s="2" t="s">
        <v>8</v>
      </c>
      <c r="W224" s="2"/>
      <c r="X224" s="2"/>
      <c r="Y224" s="2"/>
      <c r="Z224" s="2" t="s">
        <v>8</v>
      </c>
      <c r="AA224" s="2"/>
      <c r="AB224" s="2" t="s">
        <v>8</v>
      </c>
      <c r="AC224" s="2" t="s">
        <v>8</v>
      </c>
      <c r="AD224" s="2" t="s">
        <v>8</v>
      </c>
      <c r="AE224" s="2"/>
      <c r="AF224" s="2"/>
      <c r="AG224" s="2" t="s">
        <v>8</v>
      </c>
      <c r="AH224" s="3" t="b">
        <v>0</v>
      </c>
      <c r="AI224" s="2"/>
      <c r="AJ224" s="2"/>
      <c r="AK224" s="2"/>
      <c r="AL224" s="2"/>
      <c r="AM224" s="2"/>
      <c r="AN224" s="2" t="s">
        <v>1336</v>
      </c>
      <c r="AO224" s="2"/>
      <c r="AP224" s="2"/>
      <c r="AQ224" s="2" t="s">
        <v>231</v>
      </c>
    </row>
    <row r="225" spans="1:43" ht="56">
      <c r="A225" s="2" t="s">
        <v>23</v>
      </c>
      <c r="B225" s="2" t="s">
        <v>1377</v>
      </c>
      <c r="C225" s="2" t="s">
        <v>545</v>
      </c>
      <c r="D225" s="2"/>
      <c r="E225" s="2" t="s">
        <v>233</v>
      </c>
      <c r="F225" s="2" t="s">
        <v>562</v>
      </c>
      <c r="G225" s="2" t="s">
        <v>1378</v>
      </c>
      <c r="H225" s="2">
        <v>1</v>
      </c>
      <c r="I225" s="2" t="s">
        <v>1379</v>
      </c>
      <c r="J225" s="2" t="s">
        <v>1379</v>
      </c>
      <c r="K225" s="2"/>
      <c r="L225" s="2"/>
      <c r="M225" s="2"/>
      <c r="N225" s="2"/>
      <c r="O225" s="3" t="b">
        <v>1</v>
      </c>
      <c r="P225" s="2"/>
      <c r="Q225" s="2"/>
      <c r="R225" s="2"/>
      <c r="S225" s="2" t="s">
        <v>1331</v>
      </c>
      <c r="T225" s="2"/>
      <c r="U225" s="2"/>
      <c r="V225" s="2" t="s">
        <v>8</v>
      </c>
      <c r="W225" s="2"/>
      <c r="X225" s="2"/>
      <c r="Y225" s="2"/>
      <c r="Z225" s="2" t="s">
        <v>8</v>
      </c>
      <c r="AA225" s="2"/>
      <c r="AB225" s="2" t="s">
        <v>8</v>
      </c>
      <c r="AC225" s="2" t="s">
        <v>8</v>
      </c>
      <c r="AD225" s="2" t="s">
        <v>8</v>
      </c>
      <c r="AE225" s="2"/>
      <c r="AF225" s="2"/>
      <c r="AG225" s="2" t="s">
        <v>8</v>
      </c>
      <c r="AH225" s="3" t="b">
        <v>0</v>
      </c>
      <c r="AI225" s="2"/>
      <c r="AJ225" s="2"/>
      <c r="AK225" s="2"/>
      <c r="AL225" s="2"/>
      <c r="AM225" s="2"/>
      <c r="AN225" s="2" t="s">
        <v>1380</v>
      </c>
      <c r="AO225" s="2"/>
      <c r="AP225" s="2"/>
      <c r="AQ225" s="2" t="s">
        <v>231</v>
      </c>
    </row>
    <row r="226" spans="1:43" ht="56">
      <c r="A226" s="2" t="s">
        <v>23</v>
      </c>
      <c r="B226" s="2" t="s">
        <v>1381</v>
      </c>
      <c r="C226" s="2" t="s">
        <v>545</v>
      </c>
      <c r="D226" s="2"/>
      <c r="E226" s="2" t="s">
        <v>185</v>
      </c>
      <c r="F226" s="2" t="s">
        <v>546</v>
      </c>
      <c r="G226" s="2" t="s">
        <v>1382</v>
      </c>
      <c r="H226" s="2">
        <v>5</v>
      </c>
      <c r="I226" s="2" t="s">
        <v>1383</v>
      </c>
      <c r="J226" s="2" t="s">
        <v>1383</v>
      </c>
      <c r="K226" s="2">
        <v>5</v>
      </c>
      <c r="L226" s="2">
        <v>5</v>
      </c>
      <c r="M226" s="3" t="b">
        <v>1</v>
      </c>
      <c r="N226" s="3" t="b">
        <v>1</v>
      </c>
      <c r="O226" s="3" t="b">
        <v>1</v>
      </c>
      <c r="P226" s="2">
        <v>0</v>
      </c>
      <c r="Q226" s="2">
        <v>0</v>
      </c>
      <c r="R226" s="2">
        <v>0</v>
      </c>
      <c r="S226" s="2" t="s">
        <v>1331</v>
      </c>
      <c r="T226" s="2"/>
      <c r="U226" s="2"/>
      <c r="V226" s="2" t="s">
        <v>8</v>
      </c>
      <c r="W226" s="2"/>
      <c r="X226" s="2"/>
      <c r="Y226" s="2"/>
      <c r="Z226" s="2" t="s">
        <v>8</v>
      </c>
      <c r="AA226" s="2"/>
      <c r="AB226" s="2" t="s">
        <v>8</v>
      </c>
      <c r="AC226" s="2" t="s">
        <v>8</v>
      </c>
      <c r="AD226" s="2" t="s">
        <v>8</v>
      </c>
      <c r="AE226" s="2"/>
      <c r="AF226" s="2"/>
      <c r="AG226" s="2" t="s">
        <v>8</v>
      </c>
      <c r="AH226" s="3" t="b">
        <v>0</v>
      </c>
      <c r="AI226" s="2"/>
      <c r="AJ226" s="2"/>
      <c r="AK226" s="2"/>
      <c r="AL226" s="2"/>
      <c r="AM226" s="2"/>
      <c r="AN226" s="2" t="s">
        <v>1340</v>
      </c>
      <c r="AO226" s="2"/>
      <c r="AP226" s="2"/>
      <c r="AQ226" s="2" t="s">
        <v>231</v>
      </c>
    </row>
    <row r="227" spans="1:43" ht="56">
      <c r="A227" s="2" t="s">
        <v>23</v>
      </c>
      <c r="B227" s="2" t="s">
        <v>1384</v>
      </c>
      <c r="C227" s="2" t="s">
        <v>545</v>
      </c>
      <c r="D227" s="2"/>
      <c r="E227" s="2" t="s">
        <v>185</v>
      </c>
      <c r="F227" s="2" t="s">
        <v>546</v>
      </c>
      <c r="G227" s="2" t="s">
        <v>1385</v>
      </c>
      <c r="H227" s="2">
        <v>4</v>
      </c>
      <c r="I227" s="2" t="s">
        <v>1386</v>
      </c>
      <c r="J227" s="2" t="s">
        <v>1386</v>
      </c>
      <c r="K227" s="2">
        <v>4</v>
      </c>
      <c r="L227" s="2">
        <v>4</v>
      </c>
      <c r="M227" s="3" t="b">
        <v>1</v>
      </c>
      <c r="N227" s="3" t="b">
        <v>1</v>
      </c>
      <c r="O227" s="3" t="b">
        <v>1</v>
      </c>
      <c r="P227" s="2">
        <v>0</v>
      </c>
      <c r="Q227" s="2">
        <v>0</v>
      </c>
      <c r="R227" s="2">
        <v>0</v>
      </c>
      <c r="S227" s="2" t="s">
        <v>1331</v>
      </c>
      <c r="T227" s="2"/>
      <c r="U227" s="2"/>
      <c r="V227" s="2" t="s">
        <v>8</v>
      </c>
      <c r="W227" s="2"/>
      <c r="X227" s="2"/>
      <c r="Y227" s="2"/>
      <c r="Z227" s="2" t="s">
        <v>8</v>
      </c>
      <c r="AA227" s="2"/>
      <c r="AB227" s="2" t="s">
        <v>8</v>
      </c>
      <c r="AC227" s="2" t="s">
        <v>8</v>
      </c>
      <c r="AD227" s="2" t="s">
        <v>8</v>
      </c>
      <c r="AE227" s="2"/>
      <c r="AF227" s="2"/>
      <c r="AG227" s="2" t="s">
        <v>8</v>
      </c>
      <c r="AH227" s="3" t="b">
        <v>0</v>
      </c>
      <c r="AI227" s="2"/>
      <c r="AJ227" s="2"/>
      <c r="AK227" s="2"/>
      <c r="AL227" s="2"/>
      <c r="AM227" s="2"/>
      <c r="AN227" s="2" t="s">
        <v>1351</v>
      </c>
      <c r="AO227" s="2"/>
      <c r="AP227" s="2"/>
      <c r="AQ227" s="2" t="s">
        <v>231</v>
      </c>
    </row>
    <row r="228" spans="1:43" ht="56">
      <c r="A228" s="2" t="s">
        <v>23</v>
      </c>
      <c r="B228" s="2" t="s">
        <v>1387</v>
      </c>
      <c r="C228" s="2" t="s">
        <v>545</v>
      </c>
      <c r="D228" s="2"/>
      <c r="E228" s="2" t="s">
        <v>185</v>
      </c>
      <c r="F228" s="2" t="s">
        <v>546</v>
      </c>
      <c r="G228" s="2" t="s">
        <v>1388</v>
      </c>
      <c r="H228" s="2">
        <v>88</v>
      </c>
      <c r="I228" s="2" t="s">
        <v>1389</v>
      </c>
      <c r="J228" s="2" t="s">
        <v>1389</v>
      </c>
      <c r="K228" s="2">
        <v>88</v>
      </c>
      <c r="L228" s="2">
        <v>88</v>
      </c>
      <c r="M228" s="3" t="b">
        <v>1</v>
      </c>
      <c r="N228" s="3" t="b">
        <v>1</v>
      </c>
      <c r="O228" s="3" t="b">
        <v>1</v>
      </c>
      <c r="P228" s="2">
        <v>0</v>
      </c>
      <c r="Q228" s="2">
        <v>0</v>
      </c>
      <c r="R228" s="2">
        <v>0</v>
      </c>
      <c r="S228" s="2" t="s">
        <v>1331</v>
      </c>
      <c r="T228" s="2"/>
      <c r="U228" s="2"/>
      <c r="V228" s="2" t="s">
        <v>8</v>
      </c>
      <c r="W228" s="2"/>
      <c r="X228" s="2"/>
      <c r="Y228" s="2"/>
      <c r="Z228" s="2" t="s">
        <v>8</v>
      </c>
      <c r="AA228" s="2"/>
      <c r="AB228" s="2" t="s">
        <v>8</v>
      </c>
      <c r="AC228" s="2" t="s">
        <v>8</v>
      </c>
      <c r="AD228" s="2" t="s">
        <v>8</v>
      </c>
      <c r="AE228" s="2"/>
      <c r="AF228" s="2"/>
      <c r="AG228" s="2" t="s">
        <v>8</v>
      </c>
      <c r="AH228" s="3" t="b">
        <v>0</v>
      </c>
      <c r="AI228" s="2"/>
      <c r="AJ228" s="2"/>
      <c r="AK228" s="2"/>
      <c r="AL228" s="2"/>
      <c r="AM228" s="2"/>
      <c r="AN228" s="2" t="s">
        <v>1390</v>
      </c>
      <c r="AO228" s="2"/>
      <c r="AP228" s="2"/>
      <c r="AQ228" s="2" t="s">
        <v>231</v>
      </c>
    </row>
    <row r="229" spans="1:43" ht="56">
      <c r="A229" s="2" t="s">
        <v>23</v>
      </c>
      <c r="B229" s="2" t="s">
        <v>1391</v>
      </c>
      <c r="C229" s="2" t="s">
        <v>545</v>
      </c>
      <c r="D229" s="2"/>
      <c r="E229" s="2" t="s">
        <v>185</v>
      </c>
      <c r="F229" s="2" t="s">
        <v>546</v>
      </c>
      <c r="G229" s="2" t="s">
        <v>1392</v>
      </c>
      <c r="H229" s="2">
        <v>10</v>
      </c>
      <c r="I229" s="2" t="s">
        <v>1393</v>
      </c>
      <c r="J229" s="2" t="s">
        <v>1393</v>
      </c>
      <c r="K229" s="2">
        <v>10</v>
      </c>
      <c r="L229" s="2">
        <v>10</v>
      </c>
      <c r="M229" s="3" t="b">
        <v>1</v>
      </c>
      <c r="N229" s="3" t="b">
        <v>1</v>
      </c>
      <c r="O229" s="3" t="b">
        <v>1</v>
      </c>
      <c r="P229" s="2">
        <v>0</v>
      </c>
      <c r="Q229" s="2">
        <v>0</v>
      </c>
      <c r="R229" s="2">
        <v>0</v>
      </c>
      <c r="S229" s="2" t="s">
        <v>1331</v>
      </c>
      <c r="T229" s="2"/>
      <c r="U229" s="2"/>
      <c r="V229" s="2" t="s">
        <v>8</v>
      </c>
      <c r="W229" s="2"/>
      <c r="X229" s="2"/>
      <c r="Y229" s="2"/>
      <c r="Z229" s="2" t="s">
        <v>8</v>
      </c>
      <c r="AA229" s="2"/>
      <c r="AB229" s="2" t="s">
        <v>8</v>
      </c>
      <c r="AC229" s="2" t="s">
        <v>8</v>
      </c>
      <c r="AD229" s="2" t="s">
        <v>8</v>
      </c>
      <c r="AE229" s="2"/>
      <c r="AF229" s="2"/>
      <c r="AG229" s="2" t="s">
        <v>8</v>
      </c>
      <c r="AH229" s="3" t="b">
        <v>0</v>
      </c>
      <c r="AI229" s="2"/>
      <c r="AJ229" s="2"/>
      <c r="AK229" s="2"/>
      <c r="AL229" s="2"/>
      <c r="AM229" s="2"/>
      <c r="AN229" s="2" t="s">
        <v>1394</v>
      </c>
      <c r="AO229" s="2"/>
      <c r="AP229" s="2"/>
      <c r="AQ229" s="2" t="s">
        <v>231</v>
      </c>
    </row>
    <row r="230" spans="1:43" ht="56">
      <c r="A230" s="2" t="s">
        <v>23</v>
      </c>
      <c r="B230" s="2" t="s">
        <v>1395</v>
      </c>
      <c r="C230" s="2" t="s">
        <v>545</v>
      </c>
      <c r="D230" s="2"/>
      <c r="E230" s="2" t="s">
        <v>185</v>
      </c>
      <c r="F230" s="2" t="s">
        <v>562</v>
      </c>
      <c r="G230" s="2" t="s">
        <v>1396</v>
      </c>
      <c r="H230" s="2">
        <v>100</v>
      </c>
      <c r="I230" s="2" t="s">
        <v>1397</v>
      </c>
      <c r="J230" s="2" t="s">
        <v>1397</v>
      </c>
      <c r="K230" s="2">
        <v>100</v>
      </c>
      <c r="L230" s="2">
        <v>100</v>
      </c>
      <c r="M230" s="3" t="b">
        <v>1</v>
      </c>
      <c r="N230" s="3" t="b">
        <v>1</v>
      </c>
      <c r="O230" s="3" t="b">
        <v>1</v>
      </c>
      <c r="P230" s="2">
        <v>0</v>
      </c>
      <c r="Q230" s="2">
        <v>0</v>
      </c>
      <c r="R230" s="2">
        <v>0</v>
      </c>
      <c r="S230" s="2" t="s">
        <v>1331</v>
      </c>
      <c r="T230" s="2"/>
      <c r="U230" s="2"/>
      <c r="V230" s="2" t="s">
        <v>8</v>
      </c>
      <c r="W230" s="2"/>
      <c r="X230" s="2"/>
      <c r="Y230" s="2"/>
      <c r="Z230" s="2" t="s">
        <v>8</v>
      </c>
      <c r="AA230" s="2"/>
      <c r="AB230" s="2" t="s">
        <v>8</v>
      </c>
      <c r="AC230" s="2" t="s">
        <v>8</v>
      </c>
      <c r="AD230" s="2" t="s">
        <v>8</v>
      </c>
      <c r="AE230" s="2"/>
      <c r="AF230" s="2"/>
      <c r="AG230" s="2" t="s">
        <v>8</v>
      </c>
      <c r="AH230" s="3" t="b">
        <v>0</v>
      </c>
      <c r="AI230" s="2"/>
      <c r="AJ230" s="2"/>
      <c r="AK230" s="2"/>
      <c r="AL230" s="2"/>
      <c r="AM230" s="2"/>
      <c r="AN230" s="2" t="s">
        <v>1398</v>
      </c>
      <c r="AO230" s="2"/>
      <c r="AP230" s="2"/>
      <c r="AQ230" s="2" t="s">
        <v>231</v>
      </c>
    </row>
    <row r="231" spans="1:43" ht="56">
      <c r="A231" s="2" t="s">
        <v>23</v>
      </c>
      <c r="B231" s="2" t="s">
        <v>1399</v>
      </c>
      <c r="C231" s="2" t="s">
        <v>545</v>
      </c>
      <c r="D231" s="2"/>
      <c r="E231" s="2" t="s">
        <v>193</v>
      </c>
      <c r="F231" s="2" t="s">
        <v>562</v>
      </c>
      <c r="G231" s="2" t="s">
        <v>1400</v>
      </c>
      <c r="H231" s="2">
        <v>15</v>
      </c>
      <c r="I231" s="2" t="s">
        <v>1401</v>
      </c>
      <c r="J231" s="2" t="s">
        <v>1401</v>
      </c>
      <c r="K231" s="2">
        <v>15</v>
      </c>
      <c r="L231" s="2">
        <v>15</v>
      </c>
      <c r="M231" s="3" t="b">
        <v>1</v>
      </c>
      <c r="N231" s="3" t="b">
        <v>1</v>
      </c>
      <c r="O231" s="3" t="b">
        <v>1</v>
      </c>
      <c r="P231" s="2">
        <v>0</v>
      </c>
      <c r="Q231" s="2">
        <v>0</v>
      </c>
      <c r="R231" s="2">
        <v>0</v>
      </c>
      <c r="S231" s="2" t="s">
        <v>1331</v>
      </c>
      <c r="T231" s="2"/>
      <c r="U231" s="2"/>
      <c r="V231" s="2" t="s">
        <v>8</v>
      </c>
      <c r="W231" s="2"/>
      <c r="X231" s="2"/>
      <c r="Y231" s="2"/>
      <c r="Z231" s="2" t="s">
        <v>8</v>
      </c>
      <c r="AA231" s="2"/>
      <c r="AB231" s="2" t="s">
        <v>8</v>
      </c>
      <c r="AC231" s="2" t="s">
        <v>8</v>
      </c>
      <c r="AD231" s="2" t="s">
        <v>8</v>
      </c>
      <c r="AE231" s="2"/>
      <c r="AF231" s="2"/>
      <c r="AG231" s="2" t="s">
        <v>8</v>
      </c>
      <c r="AH231" s="3" t="b">
        <v>0</v>
      </c>
      <c r="AI231" s="2"/>
      <c r="AJ231" s="2"/>
      <c r="AK231" s="2"/>
      <c r="AL231" s="2"/>
      <c r="AM231" s="2"/>
      <c r="AN231" s="2" t="s">
        <v>1344</v>
      </c>
      <c r="AO231" s="2"/>
      <c r="AP231" s="2"/>
      <c r="AQ231" s="2" t="s">
        <v>231</v>
      </c>
    </row>
    <row r="232" spans="1:43" ht="56">
      <c r="A232" s="2" t="s">
        <v>23</v>
      </c>
      <c r="B232" s="2" t="s">
        <v>1402</v>
      </c>
      <c r="C232" s="2" t="s">
        <v>545</v>
      </c>
      <c r="D232" s="2"/>
      <c r="E232" s="2" t="s">
        <v>193</v>
      </c>
      <c r="F232" s="2" t="s">
        <v>572</v>
      </c>
      <c r="G232" s="2" t="s">
        <v>1403</v>
      </c>
      <c r="H232" s="2">
        <v>1</v>
      </c>
      <c r="I232" s="2" t="s">
        <v>1404</v>
      </c>
      <c r="J232" s="2" t="s">
        <v>1404</v>
      </c>
      <c r="K232" s="2">
        <v>1</v>
      </c>
      <c r="L232" s="2">
        <v>1</v>
      </c>
      <c r="M232" s="3" t="b">
        <v>1</v>
      </c>
      <c r="N232" s="3" t="b">
        <v>1</v>
      </c>
      <c r="O232" s="3" t="b">
        <v>1</v>
      </c>
      <c r="P232" s="2">
        <v>0</v>
      </c>
      <c r="Q232" s="2">
        <v>0</v>
      </c>
      <c r="R232" s="2">
        <v>0</v>
      </c>
      <c r="S232" s="2" t="s">
        <v>1331</v>
      </c>
      <c r="T232" s="2"/>
      <c r="U232" s="2"/>
      <c r="V232" s="2" t="s">
        <v>8</v>
      </c>
      <c r="W232" s="2"/>
      <c r="X232" s="2"/>
      <c r="Y232" s="2"/>
      <c r="Z232" s="2" t="s">
        <v>8</v>
      </c>
      <c r="AA232" s="2"/>
      <c r="AB232" s="2" t="s">
        <v>8</v>
      </c>
      <c r="AC232" s="2" t="s">
        <v>8</v>
      </c>
      <c r="AD232" s="2" t="s">
        <v>8</v>
      </c>
      <c r="AE232" s="2"/>
      <c r="AF232" s="2"/>
      <c r="AG232" s="2" t="s">
        <v>8</v>
      </c>
      <c r="AH232" s="3" t="b">
        <v>0</v>
      </c>
      <c r="AI232" s="2"/>
      <c r="AJ232" s="2"/>
      <c r="AK232" s="2"/>
      <c r="AL232" s="2"/>
      <c r="AM232" s="2"/>
      <c r="AN232" s="2" t="s">
        <v>1332</v>
      </c>
      <c r="AO232" s="2"/>
      <c r="AP232" s="2"/>
      <c r="AQ232" s="2" t="s">
        <v>231</v>
      </c>
    </row>
    <row r="233" spans="1:43" ht="56">
      <c r="A233" s="2" t="s">
        <v>23</v>
      </c>
      <c r="B233" s="2" t="s">
        <v>1405</v>
      </c>
      <c r="C233" s="2" t="s">
        <v>545</v>
      </c>
      <c r="D233" s="2"/>
      <c r="E233" s="2" t="s">
        <v>193</v>
      </c>
      <c r="F233" s="2" t="s">
        <v>562</v>
      </c>
      <c r="G233" s="2" t="s">
        <v>1406</v>
      </c>
      <c r="H233" s="2">
        <v>2</v>
      </c>
      <c r="I233" s="2" t="s">
        <v>1407</v>
      </c>
      <c r="J233" s="2" t="s">
        <v>1407</v>
      </c>
      <c r="K233" s="2">
        <v>2</v>
      </c>
      <c r="L233" s="2">
        <v>2</v>
      </c>
      <c r="M233" s="3" t="b">
        <v>1</v>
      </c>
      <c r="N233" s="3" t="b">
        <v>1</v>
      </c>
      <c r="O233" s="3" t="b">
        <v>1</v>
      </c>
      <c r="P233" s="2">
        <v>0</v>
      </c>
      <c r="Q233" s="2">
        <v>0</v>
      </c>
      <c r="R233" s="2">
        <v>0</v>
      </c>
      <c r="S233" s="2" t="s">
        <v>1331</v>
      </c>
      <c r="T233" s="2"/>
      <c r="U233" s="2"/>
      <c r="V233" s="2" t="s">
        <v>8</v>
      </c>
      <c r="W233" s="2"/>
      <c r="X233" s="2"/>
      <c r="Y233" s="2"/>
      <c r="Z233" s="2" t="s">
        <v>8</v>
      </c>
      <c r="AA233" s="2"/>
      <c r="AB233" s="2" t="s">
        <v>8</v>
      </c>
      <c r="AC233" s="2" t="s">
        <v>8</v>
      </c>
      <c r="AD233" s="2" t="s">
        <v>8</v>
      </c>
      <c r="AE233" s="2"/>
      <c r="AF233" s="2"/>
      <c r="AG233" s="2" t="s">
        <v>8</v>
      </c>
      <c r="AH233" s="3" t="b">
        <v>0</v>
      </c>
      <c r="AI233" s="2"/>
      <c r="AJ233" s="2"/>
      <c r="AK233" s="2"/>
      <c r="AL233" s="2"/>
      <c r="AM233" s="2"/>
      <c r="AN233" s="2" t="s">
        <v>1336</v>
      </c>
      <c r="AO233" s="2"/>
      <c r="AP233" s="2"/>
      <c r="AQ233" s="2" t="s">
        <v>231</v>
      </c>
    </row>
    <row r="234" spans="1:43" ht="56">
      <c r="A234" s="2" t="s">
        <v>23</v>
      </c>
      <c r="B234" s="2" t="s">
        <v>1408</v>
      </c>
      <c r="C234" s="2" t="s">
        <v>545</v>
      </c>
      <c r="D234" s="2"/>
      <c r="E234" s="2" t="s">
        <v>233</v>
      </c>
      <c r="F234" s="2" t="s">
        <v>546</v>
      </c>
      <c r="G234" s="2" t="s">
        <v>1409</v>
      </c>
      <c r="H234" s="2">
        <v>1</v>
      </c>
      <c r="I234" s="2" t="s">
        <v>1410</v>
      </c>
      <c r="J234" s="2" t="s">
        <v>1410</v>
      </c>
      <c r="K234" s="2"/>
      <c r="L234" s="2"/>
      <c r="M234" s="2"/>
      <c r="N234" s="2"/>
      <c r="O234" s="3" t="b">
        <v>1</v>
      </c>
      <c r="P234" s="2"/>
      <c r="Q234" s="2"/>
      <c r="R234" s="2"/>
      <c r="S234" s="2" t="s">
        <v>1331</v>
      </c>
      <c r="T234" s="2"/>
      <c r="U234" s="2"/>
      <c r="V234" s="2" t="s">
        <v>8</v>
      </c>
      <c r="W234" s="2"/>
      <c r="X234" s="2"/>
      <c r="Y234" s="2"/>
      <c r="Z234" s="2" t="s">
        <v>8</v>
      </c>
      <c r="AA234" s="2"/>
      <c r="AB234" s="2" t="s">
        <v>8</v>
      </c>
      <c r="AC234" s="2" t="s">
        <v>8</v>
      </c>
      <c r="AD234" s="2" t="s">
        <v>8</v>
      </c>
      <c r="AE234" s="2"/>
      <c r="AF234" s="2"/>
      <c r="AG234" s="2" t="s">
        <v>8</v>
      </c>
      <c r="AH234" s="3" t="b">
        <v>0</v>
      </c>
      <c r="AI234" s="2"/>
      <c r="AJ234" s="2"/>
      <c r="AK234" s="2"/>
      <c r="AL234" s="2"/>
      <c r="AM234" s="2"/>
      <c r="AN234" s="2" t="s">
        <v>1411</v>
      </c>
      <c r="AO234" s="2"/>
      <c r="AP234" s="2"/>
      <c r="AQ234" s="2" t="s">
        <v>231</v>
      </c>
    </row>
    <row r="235" spans="1:43" ht="70">
      <c r="A235" s="2" t="s">
        <v>23</v>
      </c>
      <c r="B235" s="2" t="s">
        <v>232</v>
      </c>
      <c r="C235" s="2" t="s">
        <v>545</v>
      </c>
      <c r="D235" s="2"/>
      <c r="E235" s="2" t="s">
        <v>233</v>
      </c>
      <c r="F235" s="2" t="s">
        <v>546</v>
      </c>
      <c r="G235" s="2" t="s">
        <v>235</v>
      </c>
      <c r="H235" s="2">
        <v>1</v>
      </c>
      <c r="I235" s="2" t="s">
        <v>1412</v>
      </c>
      <c r="J235" s="2" t="s">
        <v>1412</v>
      </c>
      <c r="K235" s="2"/>
      <c r="L235" s="2"/>
      <c r="M235" s="2"/>
      <c r="N235" s="2"/>
      <c r="O235" s="3" t="b">
        <v>1</v>
      </c>
      <c r="P235" s="2"/>
      <c r="Q235" s="2"/>
      <c r="R235" s="2"/>
      <c r="S235" s="2" t="s">
        <v>1331</v>
      </c>
      <c r="T235" s="2"/>
      <c r="U235" s="2"/>
      <c r="V235" s="2" t="s">
        <v>10</v>
      </c>
      <c r="W235" s="2"/>
      <c r="X235" s="2"/>
      <c r="Y235" s="2"/>
      <c r="Z235" s="2" t="s">
        <v>8</v>
      </c>
      <c r="AA235" s="2"/>
      <c r="AB235" s="2" t="s">
        <v>8</v>
      </c>
      <c r="AC235" s="2" t="s">
        <v>8</v>
      </c>
      <c r="AD235" s="2" t="s">
        <v>8</v>
      </c>
      <c r="AE235" s="2"/>
      <c r="AF235" s="2"/>
      <c r="AG235" s="2" t="s">
        <v>10</v>
      </c>
      <c r="AH235" s="3" t="b">
        <v>0</v>
      </c>
      <c r="AI235" s="2"/>
      <c r="AJ235" s="2"/>
      <c r="AK235" s="2"/>
      <c r="AL235" s="2"/>
      <c r="AM235" s="2"/>
      <c r="AN235" s="2" t="s">
        <v>236</v>
      </c>
      <c r="AO235" s="2"/>
      <c r="AP235" s="2"/>
      <c r="AQ235" s="2" t="s">
        <v>231</v>
      </c>
    </row>
    <row r="236" spans="1:43" ht="56">
      <c r="A236" s="2" t="s">
        <v>23</v>
      </c>
      <c r="B236" s="2" t="s">
        <v>1413</v>
      </c>
      <c r="C236" s="2" t="s">
        <v>545</v>
      </c>
      <c r="D236" s="2"/>
      <c r="E236" s="2" t="s">
        <v>233</v>
      </c>
      <c r="F236" s="2" t="s">
        <v>546</v>
      </c>
      <c r="G236" s="2" t="s">
        <v>1414</v>
      </c>
      <c r="H236" s="2">
        <v>1</v>
      </c>
      <c r="I236" s="2" t="s">
        <v>1415</v>
      </c>
      <c r="J236" s="2" t="s">
        <v>1415</v>
      </c>
      <c r="K236" s="2"/>
      <c r="L236" s="2"/>
      <c r="M236" s="2"/>
      <c r="N236" s="2"/>
      <c r="O236" s="3" t="b">
        <v>1</v>
      </c>
      <c r="P236" s="2"/>
      <c r="Q236" s="2"/>
      <c r="R236" s="2"/>
      <c r="S236" s="2" t="s">
        <v>1331</v>
      </c>
      <c r="T236" s="2"/>
      <c r="U236" s="2"/>
      <c r="V236" s="2" t="s">
        <v>8</v>
      </c>
      <c r="W236" s="2"/>
      <c r="X236" s="2"/>
      <c r="Y236" s="2"/>
      <c r="Z236" s="2" t="s">
        <v>8</v>
      </c>
      <c r="AA236" s="2"/>
      <c r="AB236" s="2" t="s">
        <v>8</v>
      </c>
      <c r="AC236" s="2" t="s">
        <v>8</v>
      </c>
      <c r="AD236" s="2" t="s">
        <v>8</v>
      </c>
      <c r="AE236" s="2"/>
      <c r="AF236" s="2"/>
      <c r="AG236" s="2" t="s">
        <v>8</v>
      </c>
      <c r="AH236" s="3" t="b">
        <v>0</v>
      </c>
      <c r="AI236" s="2"/>
      <c r="AJ236" s="2"/>
      <c r="AK236" s="2"/>
      <c r="AL236" s="2"/>
      <c r="AM236" s="2"/>
      <c r="AN236" s="2" t="s">
        <v>1416</v>
      </c>
      <c r="AO236" s="2"/>
      <c r="AP236" s="2"/>
      <c r="AQ236" s="2" t="s">
        <v>231</v>
      </c>
    </row>
    <row r="237" spans="1:43" ht="56">
      <c r="A237" s="2" t="s">
        <v>23</v>
      </c>
      <c r="B237" s="2" t="s">
        <v>1417</v>
      </c>
      <c r="C237" s="2" t="s">
        <v>545</v>
      </c>
      <c r="D237" s="2"/>
      <c r="E237" s="2" t="s">
        <v>193</v>
      </c>
      <c r="F237" s="2" t="s">
        <v>572</v>
      </c>
      <c r="G237" s="2" t="s">
        <v>1418</v>
      </c>
      <c r="H237" s="2">
        <v>20</v>
      </c>
      <c r="I237" s="2" t="s">
        <v>1419</v>
      </c>
      <c r="J237" s="2" t="s">
        <v>1419</v>
      </c>
      <c r="K237" s="2">
        <v>20</v>
      </c>
      <c r="L237" s="2">
        <v>20</v>
      </c>
      <c r="M237" s="3" t="b">
        <v>1</v>
      </c>
      <c r="N237" s="3" t="b">
        <v>1</v>
      </c>
      <c r="O237" s="3" t="b">
        <v>1</v>
      </c>
      <c r="P237" s="2">
        <v>0</v>
      </c>
      <c r="Q237" s="2">
        <v>0</v>
      </c>
      <c r="R237" s="2">
        <v>20</v>
      </c>
      <c r="S237" s="2" t="s">
        <v>1420</v>
      </c>
      <c r="T237" s="2"/>
      <c r="U237" s="2"/>
      <c r="V237" s="2" t="s">
        <v>8</v>
      </c>
      <c r="W237" s="2"/>
      <c r="X237" s="2"/>
      <c r="Y237" s="2"/>
      <c r="Z237" s="2" t="s">
        <v>8</v>
      </c>
      <c r="AA237" s="2"/>
      <c r="AB237" s="2" t="s">
        <v>8</v>
      </c>
      <c r="AC237" s="2" t="s">
        <v>8</v>
      </c>
      <c r="AD237" s="2" t="s">
        <v>8</v>
      </c>
      <c r="AE237" s="2"/>
      <c r="AF237" s="2"/>
      <c r="AG237" s="2" t="s">
        <v>8</v>
      </c>
      <c r="AH237" s="3" t="b">
        <v>0</v>
      </c>
      <c r="AI237" s="2"/>
      <c r="AJ237" s="2"/>
      <c r="AK237" s="2"/>
      <c r="AL237" s="2"/>
      <c r="AM237" s="2"/>
      <c r="AN237" s="2" t="s">
        <v>1421</v>
      </c>
      <c r="AO237" s="2"/>
      <c r="AP237" s="2"/>
      <c r="AQ237" s="2" t="s">
        <v>231</v>
      </c>
    </row>
    <row r="238" spans="1:43" ht="56">
      <c r="A238" s="2" t="s">
        <v>23</v>
      </c>
      <c r="B238" s="2" t="s">
        <v>1422</v>
      </c>
      <c r="C238" s="2" t="s">
        <v>545</v>
      </c>
      <c r="D238" s="2"/>
      <c r="E238" s="2" t="s">
        <v>233</v>
      </c>
      <c r="F238" s="2" t="s">
        <v>562</v>
      </c>
      <c r="G238" s="2" t="s">
        <v>1423</v>
      </c>
      <c r="H238" s="2">
        <v>1</v>
      </c>
      <c r="I238" s="2" t="s">
        <v>1424</v>
      </c>
      <c r="J238" s="2" t="s">
        <v>1424</v>
      </c>
      <c r="K238" s="2"/>
      <c r="L238" s="2"/>
      <c r="M238" s="2"/>
      <c r="N238" s="2"/>
      <c r="O238" s="3" t="b">
        <v>1</v>
      </c>
      <c r="P238" s="2"/>
      <c r="Q238" s="2"/>
      <c r="R238" s="2"/>
      <c r="S238" s="2" t="s">
        <v>1331</v>
      </c>
      <c r="T238" s="2"/>
      <c r="U238" s="2"/>
      <c r="V238" s="2" t="s">
        <v>8</v>
      </c>
      <c r="W238" s="2"/>
      <c r="X238" s="2"/>
      <c r="Y238" s="2"/>
      <c r="Z238" s="2" t="s">
        <v>8</v>
      </c>
      <c r="AA238" s="2"/>
      <c r="AB238" s="2" t="s">
        <v>8</v>
      </c>
      <c r="AC238" s="2" t="s">
        <v>8</v>
      </c>
      <c r="AD238" s="2" t="s">
        <v>8</v>
      </c>
      <c r="AE238" s="2"/>
      <c r="AF238" s="2"/>
      <c r="AG238" s="2" t="s">
        <v>8</v>
      </c>
      <c r="AH238" s="3" t="b">
        <v>0</v>
      </c>
      <c r="AI238" s="2"/>
      <c r="AJ238" s="2"/>
      <c r="AK238" s="2"/>
      <c r="AL238" s="2"/>
      <c r="AM238" s="2"/>
      <c r="AN238" s="2" t="s">
        <v>1425</v>
      </c>
      <c r="AO238" s="2"/>
      <c r="AP238" s="2"/>
      <c r="AQ238" s="2" t="s">
        <v>231</v>
      </c>
    </row>
    <row r="239" spans="1:43" ht="56">
      <c r="A239" s="2" t="s">
        <v>23</v>
      </c>
      <c r="B239" s="2" t="s">
        <v>1426</v>
      </c>
      <c r="C239" s="2" t="s">
        <v>545</v>
      </c>
      <c r="D239" s="2"/>
      <c r="E239" s="2" t="s">
        <v>200</v>
      </c>
      <c r="F239" s="2" t="s">
        <v>572</v>
      </c>
      <c r="G239" s="2" t="s">
        <v>1427</v>
      </c>
      <c r="H239" s="2">
        <v>3</v>
      </c>
      <c r="I239" s="2" t="s">
        <v>1428</v>
      </c>
      <c r="J239" s="2" t="s">
        <v>1428</v>
      </c>
      <c r="K239" s="2">
        <v>3</v>
      </c>
      <c r="L239" s="2">
        <v>3</v>
      </c>
      <c r="M239" s="3" t="b">
        <v>1</v>
      </c>
      <c r="N239" s="3" t="b">
        <v>1</v>
      </c>
      <c r="O239" s="3" t="b">
        <v>1</v>
      </c>
      <c r="P239" s="2">
        <v>0</v>
      </c>
      <c r="Q239" s="2">
        <v>0</v>
      </c>
      <c r="R239" s="2">
        <v>0</v>
      </c>
      <c r="S239" s="2" t="s">
        <v>1331</v>
      </c>
      <c r="T239" s="2"/>
      <c r="U239" s="2"/>
      <c r="V239" s="2" t="s">
        <v>8</v>
      </c>
      <c r="W239" s="2"/>
      <c r="X239" s="2"/>
      <c r="Y239" s="2"/>
      <c r="Z239" s="2" t="s">
        <v>8</v>
      </c>
      <c r="AA239" s="2"/>
      <c r="AB239" s="2" t="s">
        <v>8</v>
      </c>
      <c r="AC239" s="2" t="s">
        <v>8</v>
      </c>
      <c r="AD239" s="2" t="s">
        <v>8</v>
      </c>
      <c r="AE239" s="2"/>
      <c r="AF239" s="2"/>
      <c r="AG239" s="2" t="s">
        <v>8</v>
      </c>
      <c r="AH239" s="3" t="b">
        <v>0</v>
      </c>
      <c r="AI239" s="2"/>
      <c r="AJ239" s="2"/>
      <c r="AK239" s="2"/>
      <c r="AL239" s="2"/>
      <c r="AM239" s="2"/>
      <c r="AN239" s="2" t="s">
        <v>1373</v>
      </c>
      <c r="AO239" s="2"/>
      <c r="AP239" s="2"/>
      <c r="AQ239" s="2" t="s">
        <v>231</v>
      </c>
    </row>
    <row r="240" spans="1:43" ht="56">
      <c r="A240" s="2" t="s">
        <v>23</v>
      </c>
      <c r="B240" s="2" t="s">
        <v>1429</v>
      </c>
      <c r="C240" s="2" t="s">
        <v>545</v>
      </c>
      <c r="D240" s="2"/>
      <c r="E240" s="2" t="s">
        <v>185</v>
      </c>
      <c r="F240" s="2" t="s">
        <v>562</v>
      </c>
      <c r="G240" s="2" t="s">
        <v>1430</v>
      </c>
      <c r="H240" s="2">
        <v>11</v>
      </c>
      <c r="I240" s="2" t="s">
        <v>1431</v>
      </c>
      <c r="J240" s="2" t="s">
        <v>1431</v>
      </c>
      <c r="K240" s="2">
        <v>11</v>
      </c>
      <c r="L240" s="2">
        <v>11</v>
      </c>
      <c r="M240" s="3" t="b">
        <v>1</v>
      </c>
      <c r="N240" s="3" t="b">
        <v>1</v>
      </c>
      <c r="O240" s="3" t="b">
        <v>1</v>
      </c>
      <c r="P240" s="2">
        <v>0</v>
      </c>
      <c r="Q240" s="2">
        <v>0</v>
      </c>
      <c r="R240" s="2">
        <v>0</v>
      </c>
      <c r="S240" s="2" t="s">
        <v>1331</v>
      </c>
      <c r="T240" s="2"/>
      <c r="U240" s="2"/>
      <c r="V240" s="2" t="s">
        <v>8</v>
      </c>
      <c r="W240" s="2"/>
      <c r="X240" s="2"/>
      <c r="Y240" s="2"/>
      <c r="Z240" s="2" t="s">
        <v>8</v>
      </c>
      <c r="AA240" s="2"/>
      <c r="AB240" s="2" t="s">
        <v>8</v>
      </c>
      <c r="AC240" s="2" t="s">
        <v>8</v>
      </c>
      <c r="AD240" s="2" t="s">
        <v>8</v>
      </c>
      <c r="AE240" s="2"/>
      <c r="AF240" s="2"/>
      <c r="AG240" s="2" t="s">
        <v>8</v>
      </c>
      <c r="AH240" s="3" t="b">
        <v>0</v>
      </c>
      <c r="AI240" s="2"/>
      <c r="AJ240" s="2"/>
      <c r="AK240" s="2"/>
      <c r="AL240" s="2"/>
      <c r="AM240" s="2"/>
      <c r="AN240" s="2" t="s">
        <v>1432</v>
      </c>
      <c r="AO240" s="2"/>
      <c r="AP240" s="2"/>
      <c r="AQ240" s="2" t="s">
        <v>231</v>
      </c>
    </row>
    <row r="241" spans="1:43" ht="56">
      <c r="A241" s="2" t="s">
        <v>23</v>
      </c>
      <c r="B241" s="2" t="s">
        <v>1433</v>
      </c>
      <c r="C241" s="2" t="s">
        <v>545</v>
      </c>
      <c r="D241" s="2"/>
      <c r="E241" s="2" t="s">
        <v>233</v>
      </c>
      <c r="F241" s="2" t="s">
        <v>546</v>
      </c>
      <c r="G241" s="2" t="s">
        <v>1434</v>
      </c>
      <c r="H241" s="2">
        <v>1</v>
      </c>
      <c r="I241" s="2" t="s">
        <v>1435</v>
      </c>
      <c r="J241" s="2" t="s">
        <v>1435</v>
      </c>
      <c r="K241" s="2"/>
      <c r="L241" s="2"/>
      <c r="M241" s="2"/>
      <c r="N241" s="2"/>
      <c r="O241" s="3" t="b">
        <v>1</v>
      </c>
      <c r="P241" s="2"/>
      <c r="Q241" s="2"/>
      <c r="R241" s="2"/>
      <c r="S241" s="2" t="s">
        <v>1331</v>
      </c>
      <c r="T241" s="2"/>
      <c r="U241" s="2"/>
      <c r="V241" s="2" t="s">
        <v>8</v>
      </c>
      <c r="W241" s="2"/>
      <c r="X241" s="2"/>
      <c r="Y241" s="2"/>
      <c r="Z241" s="2" t="s">
        <v>8</v>
      </c>
      <c r="AA241" s="2"/>
      <c r="AB241" s="2" t="s">
        <v>8</v>
      </c>
      <c r="AC241" s="2" t="s">
        <v>8</v>
      </c>
      <c r="AD241" s="2" t="s">
        <v>8</v>
      </c>
      <c r="AE241" s="2"/>
      <c r="AF241" s="2"/>
      <c r="AG241" s="2" t="s">
        <v>8</v>
      </c>
      <c r="AH241" s="3" t="b">
        <v>0</v>
      </c>
      <c r="AI241" s="2"/>
      <c r="AJ241" s="2"/>
      <c r="AK241" s="2"/>
      <c r="AL241" s="2"/>
      <c r="AM241" s="2"/>
      <c r="AN241" s="2" t="s">
        <v>1436</v>
      </c>
      <c r="AO241" s="2"/>
      <c r="AP241" s="2"/>
      <c r="AQ241" s="2" t="s">
        <v>231</v>
      </c>
    </row>
    <row r="242" spans="1:43" ht="56">
      <c r="A242" s="2" t="s">
        <v>23</v>
      </c>
      <c r="B242" s="2" t="s">
        <v>1437</v>
      </c>
      <c r="C242" s="2" t="s">
        <v>680</v>
      </c>
      <c r="D242" s="2"/>
      <c r="E242" s="2" t="s">
        <v>193</v>
      </c>
      <c r="F242" s="2" t="s">
        <v>562</v>
      </c>
      <c r="G242" s="2" t="s">
        <v>1438</v>
      </c>
      <c r="H242" s="2">
        <v>1</v>
      </c>
      <c r="I242" s="2" t="s">
        <v>1439</v>
      </c>
      <c r="J242" s="2" t="s">
        <v>1439</v>
      </c>
      <c r="K242" s="2">
        <v>1</v>
      </c>
      <c r="L242" s="2">
        <v>1</v>
      </c>
      <c r="M242" s="3" t="b">
        <v>1</v>
      </c>
      <c r="N242" s="3" t="b">
        <v>1</v>
      </c>
      <c r="O242" s="3" t="b">
        <v>1</v>
      </c>
      <c r="P242" s="2">
        <v>0</v>
      </c>
      <c r="Q242" s="2">
        <v>0</v>
      </c>
      <c r="R242" s="2">
        <v>0</v>
      </c>
      <c r="S242" s="2" t="s">
        <v>1331</v>
      </c>
      <c r="T242" s="2"/>
      <c r="U242" s="2"/>
      <c r="V242" s="2" t="s">
        <v>8</v>
      </c>
      <c r="W242" s="2"/>
      <c r="X242" s="2"/>
      <c r="Y242" s="2"/>
      <c r="Z242" s="2" t="s">
        <v>8</v>
      </c>
      <c r="AA242" s="2"/>
      <c r="AB242" s="2" t="s">
        <v>8</v>
      </c>
      <c r="AC242" s="2" t="s">
        <v>8</v>
      </c>
      <c r="AD242" s="2" t="s">
        <v>8</v>
      </c>
      <c r="AE242" s="2"/>
      <c r="AF242" s="2"/>
      <c r="AG242" s="2" t="s">
        <v>8</v>
      </c>
      <c r="AH242" s="3" t="b">
        <v>0</v>
      </c>
      <c r="AI242" s="2"/>
      <c r="AJ242" s="2"/>
      <c r="AK242" s="2"/>
      <c r="AL242" s="2"/>
      <c r="AM242" s="2"/>
      <c r="AN242" s="2" t="s">
        <v>1332</v>
      </c>
      <c r="AO242" s="2"/>
      <c r="AP242" s="2"/>
      <c r="AQ242" s="2" t="s">
        <v>231</v>
      </c>
    </row>
    <row r="243" spans="1:43" ht="56">
      <c r="A243" s="2" t="s">
        <v>23</v>
      </c>
      <c r="B243" s="2" t="s">
        <v>1440</v>
      </c>
      <c r="C243" s="2" t="s">
        <v>680</v>
      </c>
      <c r="D243" s="2"/>
      <c r="E243" s="2" t="s">
        <v>193</v>
      </c>
      <c r="F243" s="2" t="s">
        <v>572</v>
      </c>
      <c r="G243" s="2" t="s">
        <v>1441</v>
      </c>
      <c r="H243" s="2">
        <v>1</v>
      </c>
      <c r="I243" s="2" t="s">
        <v>1442</v>
      </c>
      <c r="J243" s="2" t="s">
        <v>1442</v>
      </c>
      <c r="K243" s="2">
        <v>1</v>
      </c>
      <c r="L243" s="2">
        <v>1</v>
      </c>
      <c r="M243" s="3" t="b">
        <v>1</v>
      </c>
      <c r="N243" s="3" t="b">
        <v>1</v>
      </c>
      <c r="O243" s="3" t="b">
        <v>1</v>
      </c>
      <c r="P243" s="2">
        <v>0</v>
      </c>
      <c r="Q243" s="2">
        <v>0</v>
      </c>
      <c r="R243" s="2">
        <v>0</v>
      </c>
      <c r="S243" s="2" t="s">
        <v>1331</v>
      </c>
      <c r="T243" s="2"/>
      <c r="U243" s="2"/>
      <c r="V243" s="2" t="s">
        <v>8</v>
      </c>
      <c r="W243" s="2"/>
      <c r="X243" s="2"/>
      <c r="Y243" s="2"/>
      <c r="Z243" s="2" t="s">
        <v>8</v>
      </c>
      <c r="AA243" s="2"/>
      <c r="AB243" s="2" t="s">
        <v>8</v>
      </c>
      <c r="AC243" s="2" t="s">
        <v>8</v>
      </c>
      <c r="AD243" s="2" t="s">
        <v>8</v>
      </c>
      <c r="AE243" s="2"/>
      <c r="AF243" s="2"/>
      <c r="AG243" s="2" t="s">
        <v>8</v>
      </c>
      <c r="AH243" s="3" t="b">
        <v>0</v>
      </c>
      <c r="AI243" s="2"/>
      <c r="AJ243" s="2"/>
      <c r="AK243" s="2"/>
      <c r="AL243" s="2"/>
      <c r="AM243" s="2"/>
      <c r="AN243" s="2" t="s">
        <v>1332</v>
      </c>
      <c r="AO243" s="2"/>
      <c r="AP243" s="2"/>
      <c r="AQ243" s="2" t="s">
        <v>231</v>
      </c>
    </row>
    <row r="244" spans="1:43" ht="56">
      <c r="A244" s="2" t="s">
        <v>23</v>
      </c>
      <c r="B244" s="2" t="s">
        <v>239</v>
      </c>
      <c r="C244" s="2" t="s">
        <v>680</v>
      </c>
      <c r="D244" s="2"/>
      <c r="E244" s="2" t="s">
        <v>193</v>
      </c>
      <c r="F244" s="2" t="s">
        <v>572</v>
      </c>
      <c r="G244" s="2" t="s">
        <v>241</v>
      </c>
      <c r="H244" s="2">
        <v>17887</v>
      </c>
      <c r="I244" s="2" t="s">
        <v>1443</v>
      </c>
      <c r="J244" s="2" t="s">
        <v>1443</v>
      </c>
      <c r="K244" s="2">
        <v>17887</v>
      </c>
      <c r="L244" s="2">
        <v>17887</v>
      </c>
      <c r="M244" s="3" t="b">
        <v>1</v>
      </c>
      <c r="N244" s="3" t="b">
        <v>1</v>
      </c>
      <c r="O244" s="3" t="b">
        <v>1</v>
      </c>
      <c r="P244" s="2">
        <v>67</v>
      </c>
      <c r="Q244" s="2">
        <v>0</v>
      </c>
      <c r="R244" s="2">
        <v>0</v>
      </c>
      <c r="S244" s="2" t="s">
        <v>1331</v>
      </c>
      <c r="T244" s="2"/>
      <c r="U244" s="2"/>
      <c r="V244" s="2" t="s">
        <v>8</v>
      </c>
      <c r="W244" s="2"/>
      <c r="X244" s="2"/>
      <c r="Y244" s="2"/>
      <c r="Z244" s="2" t="s">
        <v>10</v>
      </c>
      <c r="AA244" s="2"/>
      <c r="AB244" s="2" t="s">
        <v>10</v>
      </c>
      <c r="AC244" s="2" t="s">
        <v>8</v>
      </c>
      <c r="AD244" s="2" t="s">
        <v>8</v>
      </c>
      <c r="AE244" s="2"/>
      <c r="AF244" s="2"/>
      <c r="AG244" s="2" t="s">
        <v>10</v>
      </c>
      <c r="AH244" s="3" t="b">
        <v>0</v>
      </c>
      <c r="AI244" s="2"/>
      <c r="AJ244" s="2"/>
      <c r="AK244" s="2"/>
      <c r="AL244" s="2"/>
      <c r="AM244" s="2"/>
      <c r="AN244" s="2" t="s">
        <v>242</v>
      </c>
      <c r="AO244" s="2"/>
      <c r="AP244" s="2"/>
      <c r="AQ244" s="2" t="s">
        <v>231</v>
      </c>
    </row>
    <row r="245" spans="1:43" ht="56">
      <c r="A245" s="2" t="s">
        <v>23</v>
      </c>
      <c r="B245" s="2" t="s">
        <v>1444</v>
      </c>
      <c r="C245" s="2" t="s">
        <v>680</v>
      </c>
      <c r="D245" s="2"/>
      <c r="E245" s="2" t="s">
        <v>193</v>
      </c>
      <c r="F245" s="2" t="s">
        <v>562</v>
      </c>
      <c r="G245" s="2" t="s">
        <v>1445</v>
      </c>
      <c r="H245" s="2">
        <v>1</v>
      </c>
      <c r="I245" s="2" t="s">
        <v>1446</v>
      </c>
      <c r="J245" s="2" t="s">
        <v>1446</v>
      </c>
      <c r="K245" s="2">
        <v>1</v>
      </c>
      <c r="L245" s="2">
        <v>1</v>
      </c>
      <c r="M245" s="3" t="b">
        <v>1</v>
      </c>
      <c r="N245" s="3" t="b">
        <v>1</v>
      </c>
      <c r="O245" s="3" t="b">
        <v>1</v>
      </c>
      <c r="P245" s="2">
        <v>0</v>
      </c>
      <c r="Q245" s="2">
        <v>0</v>
      </c>
      <c r="R245" s="2">
        <v>0</v>
      </c>
      <c r="S245" s="2" t="s">
        <v>1331</v>
      </c>
      <c r="T245" s="2"/>
      <c r="U245" s="2"/>
      <c r="V245" s="2" t="s">
        <v>8</v>
      </c>
      <c r="W245" s="2"/>
      <c r="X245" s="2"/>
      <c r="Y245" s="2"/>
      <c r="Z245" s="2" t="s">
        <v>8</v>
      </c>
      <c r="AA245" s="2"/>
      <c r="AB245" s="2" t="s">
        <v>8</v>
      </c>
      <c r="AC245" s="2" t="s">
        <v>8</v>
      </c>
      <c r="AD245" s="2" t="s">
        <v>8</v>
      </c>
      <c r="AE245" s="2"/>
      <c r="AF245" s="2"/>
      <c r="AG245" s="2" t="s">
        <v>8</v>
      </c>
      <c r="AH245" s="3" t="b">
        <v>0</v>
      </c>
      <c r="AI245" s="2"/>
      <c r="AJ245" s="2"/>
      <c r="AK245" s="2"/>
      <c r="AL245" s="2"/>
      <c r="AM245" s="2"/>
      <c r="AN245" s="2" t="s">
        <v>1332</v>
      </c>
      <c r="AO245" s="2"/>
      <c r="AP245" s="2"/>
      <c r="AQ245" s="2" t="s">
        <v>231</v>
      </c>
    </row>
    <row r="246" spans="1:43" ht="70">
      <c r="A246" s="2" t="s">
        <v>23</v>
      </c>
      <c r="B246" s="2" t="s">
        <v>1447</v>
      </c>
      <c r="C246" s="2" t="s">
        <v>680</v>
      </c>
      <c r="D246" s="2"/>
      <c r="E246" s="2" t="s">
        <v>889</v>
      </c>
      <c r="F246" s="2" t="s">
        <v>546</v>
      </c>
      <c r="G246" s="2" t="s">
        <v>1448</v>
      </c>
      <c r="H246" s="2"/>
      <c r="I246" s="2" t="s">
        <v>1449</v>
      </c>
      <c r="J246" s="2"/>
      <c r="K246" s="2"/>
      <c r="L246" s="2"/>
      <c r="M246" s="2"/>
      <c r="N246" s="2"/>
      <c r="O246" s="2" t="s">
        <v>1450</v>
      </c>
      <c r="P246" s="2"/>
      <c r="Q246" s="2"/>
      <c r="R246" s="2"/>
      <c r="S246" s="2" t="s">
        <v>1331</v>
      </c>
      <c r="T246" s="2"/>
      <c r="U246" s="2"/>
      <c r="V246" s="2" t="s">
        <v>1451</v>
      </c>
      <c r="W246" s="2"/>
      <c r="X246" s="2"/>
      <c r="Y246" s="2"/>
      <c r="Z246" s="2" t="s">
        <v>8</v>
      </c>
      <c r="AA246" s="2"/>
      <c r="AB246" s="2" t="s">
        <v>8</v>
      </c>
      <c r="AC246" s="2" t="s">
        <v>1451</v>
      </c>
      <c r="AD246" s="2" t="s">
        <v>1451</v>
      </c>
      <c r="AE246" s="2"/>
      <c r="AF246" s="2"/>
      <c r="AG246" s="2" t="s">
        <v>8</v>
      </c>
      <c r="AH246" s="3" t="b">
        <v>0</v>
      </c>
      <c r="AI246" s="2"/>
      <c r="AJ246" s="2"/>
      <c r="AK246" s="2"/>
      <c r="AL246" s="2"/>
      <c r="AM246" s="2"/>
      <c r="AN246" s="2" t="s">
        <v>1452</v>
      </c>
      <c r="AO246" s="2"/>
      <c r="AP246" s="2"/>
      <c r="AQ246" s="2" t="s">
        <v>231</v>
      </c>
    </row>
    <row r="247" spans="1:43" ht="56">
      <c r="A247" s="2" t="s">
        <v>23</v>
      </c>
      <c r="B247" s="2" t="s">
        <v>1453</v>
      </c>
      <c r="C247" s="2" t="s">
        <v>680</v>
      </c>
      <c r="D247" s="2"/>
      <c r="E247" s="2" t="s">
        <v>185</v>
      </c>
      <c r="F247" s="2" t="s">
        <v>572</v>
      </c>
      <c r="G247" s="2" t="s">
        <v>1454</v>
      </c>
      <c r="H247" s="2">
        <v>10</v>
      </c>
      <c r="I247" s="2" t="s">
        <v>1455</v>
      </c>
      <c r="J247" s="2" t="s">
        <v>1455</v>
      </c>
      <c r="K247" s="2">
        <v>10</v>
      </c>
      <c r="L247" s="2">
        <v>10</v>
      </c>
      <c r="M247" s="3" t="b">
        <v>1</v>
      </c>
      <c r="N247" s="3" t="b">
        <v>1</v>
      </c>
      <c r="O247" s="3" t="b">
        <v>1</v>
      </c>
      <c r="P247" s="2">
        <v>0</v>
      </c>
      <c r="Q247" s="2">
        <v>0</v>
      </c>
      <c r="R247" s="2">
        <v>0</v>
      </c>
      <c r="S247" s="2" t="s">
        <v>1331</v>
      </c>
      <c r="T247" s="2"/>
      <c r="U247" s="2"/>
      <c r="V247" s="2" t="s">
        <v>8</v>
      </c>
      <c r="W247" s="2"/>
      <c r="X247" s="2"/>
      <c r="Y247" s="2"/>
      <c r="Z247" s="2" t="s">
        <v>8</v>
      </c>
      <c r="AA247" s="2"/>
      <c r="AB247" s="2" t="s">
        <v>8</v>
      </c>
      <c r="AC247" s="2" t="s">
        <v>8</v>
      </c>
      <c r="AD247" s="2" t="s">
        <v>8</v>
      </c>
      <c r="AE247" s="2"/>
      <c r="AF247" s="2"/>
      <c r="AG247" s="2" t="s">
        <v>8</v>
      </c>
      <c r="AH247" s="3" t="b">
        <v>0</v>
      </c>
      <c r="AI247" s="2"/>
      <c r="AJ247" s="2"/>
      <c r="AK247" s="2"/>
      <c r="AL247" s="2"/>
      <c r="AM247" s="2"/>
      <c r="AN247" s="2" t="s">
        <v>1394</v>
      </c>
      <c r="AO247" s="2"/>
      <c r="AP247" s="2"/>
      <c r="AQ247" s="2" t="s">
        <v>231</v>
      </c>
    </row>
    <row r="248" spans="1:43" ht="70">
      <c r="A248" s="2" t="s">
        <v>23</v>
      </c>
      <c r="B248" s="2" t="s">
        <v>423</v>
      </c>
      <c r="C248" s="2" t="s">
        <v>680</v>
      </c>
      <c r="D248" s="2"/>
      <c r="E248" s="2" t="s">
        <v>200</v>
      </c>
      <c r="F248" s="2" t="s">
        <v>562</v>
      </c>
      <c r="G248" s="2" t="s">
        <v>1456</v>
      </c>
      <c r="H248" s="2">
        <v>1</v>
      </c>
      <c r="I248" s="2" t="s">
        <v>426</v>
      </c>
      <c r="J248" s="2" t="s">
        <v>426</v>
      </c>
      <c r="K248" s="2">
        <v>1</v>
      </c>
      <c r="L248" s="2">
        <v>1</v>
      </c>
      <c r="M248" s="3" t="b">
        <v>1</v>
      </c>
      <c r="N248" s="3" t="b">
        <v>1</v>
      </c>
      <c r="O248" s="2"/>
      <c r="P248" s="2">
        <v>0</v>
      </c>
      <c r="Q248" s="2">
        <v>0</v>
      </c>
      <c r="R248" s="2">
        <v>0</v>
      </c>
      <c r="S248" s="2" t="s">
        <v>1331</v>
      </c>
      <c r="T248" s="2"/>
      <c r="U248" s="2"/>
      <c r="V248" s="2" t="s">
        <v>8</v>
      </c>
      <c r="W248" s="2"/>
      <c r="X248" s="2"/>
      <c r="Y248" s="2"/>
      <c r="Z248" s="2" t="s">
        <v>8</v>
      </c>
      <c r="AA248" s="2"/>
      <c r="AB248" s="2" t="s">
        <v>8</v>
      </c>
      <c r="AC248" s="2" t="s">
        <v>8</v>
      </c>
      <c r="AD248" s="2" t="s">
        <v>8</v>
      </c>
      <c r="AE248" s="2"/>
      <c r="AF248" s="2"/>
      <c r="AG248" s="2" t="s">
        <v>8</v>
      </c>
      <c r="AH248" s="3" t="b">
        <v>0</v>
      </c>
      <c r="AI248" s="2"/>
      <c r="AJ248" s="2"/>
      <c r="AK248" s="2"/>
      <c r="AL248" s="2"/>
      <c r="AM248" s="2"/>
      <c r="AN248" s="2" t="s">
        <v>424</v>
      </c>
      <c r="AO248" s="2"/>
      <c r="AP248" s="2"/>
      <c r="AQ248" s="2" t="s">
        <v>231</v>
      </c>
    </row>
    <row r="249" spans="1:43" ht="56">
      <c r="A249" s="2" t="s">
        <v>23</v>
      </c>
      <c r="B249" s="2" t="s">
        <v>1457</v>
      </c>
      <c r="C249" s="2" t="s">
        <v>680</v>
      </c>
      <c r="D249" s="2"/>
      <c r="E249" s="2" t="s">
        <v>193</v>
      </c>
      <c r="F249" s="2" t="s">
        <v>572</v>
      </c>
      <c r="G249" s="2" t="s">
        <v>1458</v>
      </c>
      <c r="H249" s="2">
        <v>15</v>
      </c>
      <c r="I249" s="2" t="s">
        <v>1459</v>
      </c>
      <c r="J249" s="2" t="s">
        <v>1459</v>
      </c>
      <c r="K249" s="2">
        <v>15</v>
      </c>
      <c r="L249" s="2">
        <v>15</v>
      </c>
      <c r="M249" s="3" t="b">
        <v>1</v>
      </c>
      <c r="N249" s="3" t="b">
        <v>1</v>
      </c>
      <c r="O249" s="3" t="b">
        <v>1</v>
      </c>
      <c r="P249" s="2">
        <v>0</v>
      </c>
      <c r="Q249" s="2">
        <v>0</v>
      </c>
      <c r="R249" s="2">
        <v>0</v>
      </c>
      <c r="S249" s="2" t="s">
        <v>1331</v>
      </c>
      <c r="T249" s="2"/>
      <c r="U249" s="2"/>
      <c r="V249" s="2" t="s">
        <v>8</v>
      </c>
      <c r="W249" s="2"/>
      <c r="X249" s="2"/>
      <c r="Y249" s="2"/>
      <c r="Z249" s="2" t="s">
        <v>8</v>
      </c>
      <c r="AA249" s="2"/>
      <c r="AB249" s="2" t="s">
        <v>8</v>
      </c>
      <c r="AC249" s="2" t="s">
        <v>8</v>
      </c>
      <c r="AD249" s="2" t="s">
        <v>8</v>
      </c>
      <c r="AE249" s="2"/>
      <c r="AF249" s="2"/>
      <c r="AG249" s="2" t="s">
        <v>8</v>
      </c>
      <c r="AH249" s="3" t="b">
        <v>0</v>
      </c>
      <c r="AI249" s="2"/>
      <c r="AJ249" s="2"/>
      <c r="AK249" s="2"/>
      <c r="AL249" s="2"/>
      <c r="AM249" s="2"/>
      <c r="AN249" s="2" t="s">
        <v>1344</v>
      </c>
      <c r="AO249" s="2"/>
      <c r="AP249" s="2"/>
      <c r="AQ249" s="2" t="s">
        <v>231</v>
      </c>
    </row>
    <row r="250" spans="1:43" ht="56">
      <c r="A250" s="2" t="s">
        <v>23</v>
      </c>
      <c r="B250" s="2" t="s">
        <v>1460</v>
      </c>
      <c r="C250" s="2" t="s">
        <v>680</v>
      </c>
      <c r="D250" s="2"/>
      <c r="E250" s="2" t="s">
        <v>193</v>
      </c>
      <c r="F250" s="2" t="s">
        <v>572</v>
      </c>
      <c r="G250" s="2" t="s">
        <v>1461</v>
      </c>
      <c r="H250" s="2">
        <v>9</v>
      </c>
      <c r="I250" s="2" t="s">
        <v>1462</v>
      </c>
      <c r="J250" s="2" t="s">
        <v>1462</v>
      </c>
      <c r="K250" s="2">
        <v>9</v>
      </c>
      <c r="L250" s="2">
        <v>9</v>
      </c>
      <c r="M250" s="3" t="b">
        <v>1</v>
      </c>
      <c r="N250" s="3" t="b">
        <v>1</v>
      </c>
      <c r="O250" s="3" t="b">
        <v>1</v>
      </c>
      <c r="P250" s="2">
        <v>0</v>
      </c>
      <c r="Q250" s="2">
        <v>0</v>
      </c>
      <c r="R250" s="2">
        <v>0</v>
      </c>
      <c r="S250" s="2" t="s">
        <v>1331</v>
      </c>
      <c r="T250" s="2"/>
      <c r="U250" s="2"/>
      <c r="V250" s="2" t="s">
        <v>8</v>
      </c>
      <c r="W250" s="2"/>
      <c r="X250" s="2"/>
      <c r="Y250" s="2"/>
      <c r="Z250" s="2" t="s">
        <v>8</v>
      </c>
      <c r="AA250" s="2"/>
      <c r="AB250" s="2" t="s">
        <v>8</v>
      </c>
      <c r="AC250" s="2" t="s">
        <v>8</v>
      </c>
      <c r="AD250" s="2" t="s">
        <v>8</v>
      </c>
      <c r="AE250" s="2"/>
      <c r="AF250" s="2"/>
      <c r="AG250" s="2" t="s">
        <v>8</v>
      </c>
      <c r="AH250" s="3" t="b">
        <v>0</v>
      </c>
      <c r="AI250" s="2"/>
      <c r="AJ250" s="2"/>
      <c r="AK250" s="2"/>
      <c r="AL250" s="2"/>
      <c r="AM250" s="2"/>
      <c r="AN250" s="2" t="s">
        <v>1463</v>
      </c>
      <c r="AO250" s="2"/>
      <c r="AP250" s="2"/>
      <c r="AQ250" s="2" t="s">
        <v>231</v>
      </c>
    </row>
    <row r="251" spans="1:43" ht="56">
      <c r="A251" s="2" t="s">
        <v>23</v>
      </c>
      <c r="B251" s="2" t="s">
        <v>1464</v>
      </c>
      <c r="C251" s="2" t="s">
        <v>680</v>
      </c>
      <c r="D251" s="2"/>
      <c r="E251" s="2" t="s">
        <v>193</v>
      </c>
      <c r="F251" s="2" t="s">
        <v>546</v>
      </c>
      <c r="G251" s="2" t="s">
        <v>1465</v>
      </c>
      <c r="H251" s="2">
        <v>6</v>
      </c>
      <c r="I251" s="2" t="s">
        <v>1466</v>
      </c>
      <c r="J251" s="2" t="s">
        <v>1466</v>
      </c>
      <c r="K251" s="2">
        <v>6</v>
      </c>
      <c r="L251" s="2">
        <v>6</v>
      </c>
      <c r="M251" s="3" t="b">
        <v>1</v>
      </c>
      <c r="N251" s="3" t="b">
        <v>1</v>
      </c>
      <c r="O251" s="3" t="b">
        <v>1</v>
      </c>
      <c r="P251" s="2">
        <v>0</v>
      </c>
      <c r="Q251" s="2">
        <v>0</v>
      </c>
      <c r="R251" s="2">
        <v>0</v>
      </c>
      <c r="S251" s="2" t="s">
        <v>1331</v>
      </c>
      <c r="T251" s="2"/>
      <c r="U251" s="2"/>
      <c r="V251" s="2" t="s">
        <v>8</v>
      </c>
      <c r="W251" s="2"/>
      <c r="X251" s="2"/>
      <c r="Y251" s="2"/>
      <c r="Z251" s="2" t="s">
        <v>8</v>
      </c>
      <c r="AA251" s="2"/>
      <c r="AB251" s="2" t="s">
        <v>8</v>
      </c>
      <c r="AC251" s="2" t="s">
        <v>8</v>
      </c>
      <c r="AD251" s="2" t="s">
        <v>8</v>
      </c>
      <c r="AE251" s="2"/>
      <c r="AF251" s="2"/>
      <c r="AG251" s="2" t="s">
        <v>8</v>
      </c>
      <c r="AH251" s="3" t="b">
        <v>0</v>
      </c>
      <c r="AI251" s="2"/>
      <c r="AJ251" s="2"/>
      <c r="AK251" s="2"/>
      <c r="AL251" s="2"/>
      <c r="AM251" s="2"/>
      <c r="AN251" s="2" t="s">
        <v>1467</v>
      </c>
      <c r="AO251" s="2"/>
      <c r="AP251" s="2"/>
      <c r="AQ251" s="2" t="s">
        <v>231</v>
      </c>
    </row>
    <row r="252" spans="1:43" ht="56">
      <c r="A252" s="2" t="s">
        <v>23</v>
      </c>
      <c r="B252" s="2" t="s">
        <v>1468</v>
      </c>
      <c r="C252" s="2" t="s">
        <v>680</v>
      </c>
      <c r="D252" s="2"/>
      <c r="E252" s="2" t="s">
        <v>193</v>
      </c>
      <c r="F252" s="2" t="s">
        <v>562</v>
      </c>
      <c r="G252" s="2" t="s">
        <v>1469</v>
      </c>
      <c r="H252" s="2">
        <v>10</v>
      </c>
      <c r="I252" s="2" t="s">
        <v>1470</v>
      </c>
      <c r="J252" s="2" t="s">
        <v>1470</v>
      </c>
      <c r="K252" s="2">
        <v>10</v>
      </c>
      <c r="L252" s="2">
        <v>10</v>
      </c>
      <c r="M252" s="3" t="b">
        <v>1</v>
      </c>
      <c r="N252" s="3" t="b">
        <v>1</v>
      </c>
      <c r="O252" s="3" t="b">
        <v>1</v>
      </c>
      <c r="P252" s="2">
        <v>0</v>
      </c>
      <c r="Q252" s="2">
        <v>0</v>
      </c>
      <c r="R252" s="2">
        <v>0</v>
      </c>
      <c r="S252" s="2" t="s">
        <v>1331</v>
      </c>
      <c r="T252" s="2"/>
      <c r="U252" s="2"/>
      <c r="V252" s="2" t="s">
        <v>8</v>
      </c>
      <c r="W252" s="2"/>
      <c r="X252" s="2"/>
      <c r="Y252" s="2"/>
      <c r="Z252" s="2" t="s">
        <v>8</v>
      </c>
      <c r="AA252" s="2"/>
      <c r="AB252" s="2" t="s">
        <v>8</v>
      </c>
      <c r="AC252" s="2" t="s">
        <v>8</v>
      </c>
      <c r="AD252" s="2" t="s">
        <v>8</v>
      </c>
      <c r="AE252" s="2"/>
      <c r="AF252" s="2"/>
      <c r="AG252" s="2" t="s">
        <v>8</v>
      </c>
      <c r="AH252" s="3" t="b">
        <v>0</v>
      </c>
      <c r="AI252" s="2"/>
      <c r="AJ252" s="2"/>
      <c r="AK252" s="2"/>
      <c r="AL252" s="2"/>
      <c r="AM252" s="2"/>
      <c r="AN252" s="2" t="s">
        <v>1394</v>
      </c>
      <c r="AO252" s="2"/>
      <c r="AP252" s="2"/>
      <c r="AQ252" s="2" t="s">
        <v>231</v>
      </c>
    </row>
    <row r="253" spans="1:43" ht="56">
      <c r="A253" s="2" t="s">
        <v>23</v>
      </c>
      <c r="B253" s="2" t="s">
        <v>1471</v>
      </c>
      <c r="C253" s="2" t="s">
        <v>680</v>
      </c>
      <c r="D253" s="2"/>
      <c r="E253" s="2" t="s">
        <v>193</v>
      </c>
      <c r="F253" s="2" t="s">
        <v>546</v>
      </c>
      <c r="G253" s="2" t="s">
        <v>1472</v>
      </c>
      <c r="H253" s="2">
        <v>5</v>
      </c>
      <c r="I253" s="2" t="s">
        <v>1473</v>
      </c>
      <c r="J253" s="2" t="s">
        <v>1473</v>
      </c>
      <c r="K253" s="2">
        <v>5</v>
      </c>
      <c r="L253" s="2">
        <v>5</v>
      </c>
      <c r="M253" s="3" t="b">
        <v>1</v>
      </c>
      <c r="N253" s="3" t="b">
        <v>1</v>
      </c>
      <c r="O253" s="3" t="b">
        <v>1</v>
      </c>
      <c r="P253" s="2">
        <v>0</v>
      </c>
      <c r="Q253" s="2">
        <v>1</v>
      </c>
      <c r="R253" s="2">
        <v>2</v>
      </c>
      <c r="S253" s="2" t="s">
        <v>1474</v>
      </c>
      <c r="T253" s="2"/>
      <c r="U253" s="2"/>
      <c r="V253" s="2" t="s">
        <v>8</v>
      </c>
      <c r="W253" s="2"/>
      <c r="X253" s="2"/>
      <c r="Y253" s="2"/>
      <c r="Z253" s="2" t="s">
        <v>8</v>
      </c>
      <c r="AA253" s="2"/>
      <c r="AB253" s="2" t="s">
        <v>8</v>
      </c>
      <c r="AC253" s="2" t="s">
        <v>8</v>
      </c>
      <c r="AD253" s="2" t="s">
        <v>8</v>
      </c>
      <c r="AE253" s="2"/>
      <c r="AF253" s="2"/>
      <c r="AG253" s="2" t="s">
        <v>8</v>
      </c>
      <c r="AH253" s="3" t="b">
        <v>0</v>
      </c>
      <c r="AI253" s="2"/>
      <c r="AJ253" s="2"/>
      <c r="AK253" s="2"/>
      <c r="AL253" s="2"/>
      <c r="AM253" s="2"/>
      <c r="AN253" s="2" t="s">
        <v>1340</v>
      </c>
      <c r="AO253" s="2"/>
      <c r="AP253" s="2"/>
      <c r="AQ253" s="2" t="s">
        <v>231</v>
      </c>
    </row>
    <row r="254" spans="1:43" ht="56">
      <c r="A254" s="2" t="s">
        <v>23</v>
      </c>
      <c r="B254" s="2" t="s">
        <v>1475</v>
      </c>
      <c r="C254" s="2" t="s">
        <v>680</v>
      </c>
      <c r="D254" s="2"/>
      <c r="E254" s="2" t="s">
        <v>193</v>
      </c>
      <c r="F254" s="2" t="s">
        <v>546</v>
      </c>
      <c r="G254" s="2" t="s">
        <v>1476</v>
      </c>
      <c r="H254" s="2">
        <v>4</v>
      </c>
      <c r="I254" s="2" t="s">
        <v>1477</v>
      </c>
      <c r="J254" s="2" t="s">
        <v>1477</v>
      </c>
      <c r="K254" s="2">
        <v>4</v>
      </c>
      <c r="L254" s="2">
        <v>4</v>
      </c>
      <c r="M254" s="3" t="b">
        <v>1</v>
      </c>
      <c r="N254" s="3" t="b">
        <v>1</v>
      </c>
      <c r="O254" s="3" t="b">
        <v>1</v>
      </c>
      <c r="P254" s="2">
        <v>0</v>
      </c>
      <c r="Q254" s="2">
        <v>0</v>
      </c>
      <c r="R254" s="2">
        <v>0</v>
      </c>
      <c r="S254" s="2" t="s">
        <v>1331</v>
      </c>
      <c r="T254" s="2"/>
      <c r="U254" s="2"/>
      <c r="V254" s="2" t="s">
        <v>8</v>
      </c>
      <c r="W254" s="2"/>
      <c r="X254" s="2"/>
      <c r="Y254" s="2"/>
      <c r="Z254" s="2" t="s">
        <v>8</v>
      </c>
      <c r="AA254" s="2"/>
      <c r="AB254" s="2" t="s">
        <v>8</v>
      </c>
      <c r="AC254" s="2" t="s">
        <v>8</v>
      </c>
      <c r="AD254" s="2" t="s">
        <v>8</v>
      </c>
      <c r="AE254" s="2"/>
      <c r="AF254" s="2"/>
      <c r="AG254" s="2" t="s">
        <v>8</v>
      </c>
      <c r="AH254" s="3" t="b">
        <v>0</v>
      </c>
      <c r="AI254" s="2"/>
      <c r="AJ254" s="2"/>
      <c r="AK254" s="2"/>
      <c r="AL254" s="2"/>
      <c r="AM254" s="2"/>
      <c r="AN254" s="2" t="s">
        <v>1351</v>
      </c>
      <c r="AO254" s="2"/>
      <c r="AP254" s="2"/>
      <c r="AQ254" s="2" t="s">
        <v>231</v>
      </c>
    </row>
    <row r="255" spans="1:43" ht="56">
      <c r="A255" s="2" t="s">
        <v>23</v>
      </c>
      <c r="B255" s="2" t="s">
        <v>1478</v>
      </c>
      <c r="C255" s="2" t="s">
        <v>680</v>
      </c>
      <c r="D255" s="2"/>
      <c r="E255" s="2" t="s">
        <v>193</v>
      </c>
      <c r="F255" s="2" t="s">
        <v>562</v>
      </c>
      <c r="G255" s="2" t="s">
        <v>1479</v>
      </c>
      <c r="H255" s="2">
        <v>4</v>
      </c>
      <c r="I255" s="2" t="s">
        <v>1480</v>
      </c>
      <c r="J255" s="2" t="s">
        <v>1480</v>
      </c>
      <c r="K255" s="2">
        <v>4</v>
      </c>
      <c r="L255" s="2">
        <v>4</v>
      </c>
      <c r="M255" s="3" t="b">
        <v>1</v>
      </c>
      <c r="N255" s="3" t="b">
        <v>1</v>
      </c>
      <c r="O255" s="3" t="b">
        <v>1</v>
      </c>
      <c r="P255" s="2">
        <v>0</v>
      </c>
      <c r="Q255" s="2">
        <v>0</v>
      </c>
      <c r="R255" s="2">
        <v>0</v>
      </c>
      <c r="S255" s="2" t="s">
        <v>1331</v>
      </c>
      <c r="T255" s="2"/>
      <c r="U255" s="2"/>
      <c r="V255" s="2" t="s">
        <v>8</v>
      </c>
      <c r="W255" s="2"/>
      <c r="X255" s="2"/>
      <c r="Y255" s="2"/>
      <c r="Z255" s="2" t="s">
        <v>8</v>
      </c>
      <c r="AA255" s="2"/>
      <c r="AB255" s="2" t="s">
        <v>8</v>
      </c>
      <c r="AC255" s="2" t="s">
        <v>8</v>
      </c>
      <c r="AD255" s="2" t="s">
        <v>8</v>
      </c>
      <c r="AE255" s="2"/>
      <c r="AF255" s="2"/>
      <c r="AG255" s="2" t="s">
        <v>8</v>
      </c>
      <c r="AH255" s="3" t="b">
        <v>0</v>
      </c>
      <c r="AI255" s="2"/>
      <c r="AJ255" s="2"/>
      <c r="AK255" s="2"/>
      <c r="AL255" s="2"/>
      <c r="AM255" s="2"/>
      <c r="AN255" s="2" t="s">
        <v>1351</v>
      </c>
      <c r="AO255" s="2"/>
      <c r="AP255" s="2"/>
      <c r="AQ255" s="2" t="s">
        <v>231</v>
      </c>
    </row>
    <row r="256" spans="1:43" ht="70">
      <c r="A256" s="2" t="s">
        <v>23</v>
      </c>
      <c r="B256" s="2" t="s">
        <v>427</v>
      </c>
      <c r="C256" s="2" t="s">
        <v>680</v>
      </c>
      <c r="D256" s="2"/>
      <c r="E256" s="2" t="s">
        <v>193</v>
      </c>
      <c r="F256" s="2" t="s">
        <v>562</v>
      </c>
      <c r="G256" s="2" t="s">
        <v>1481</v>
      </c>
      <c r="H256" s="2">
        <v>3</v>
      </c>
      <c r="I256" s="2" t="s">
        <v>430</v>
      </c>
      <c r="J256" s="2" t="s">
        <v>430</v>
      </c>
      <c r="K256" s="2">
        <v>3</v>
      </c>
      <c r="L256" s="2">
        <v>3</v>
      </c>
      <c r="M256" s="3" t="b">
        <v>1</v>
      </c>
      <c r="N256" s="3" t="b">
        <v>1</v>
      </c>
      <c r="O256" s="3" t="b">
        <v>1</v>
      </c>
      <c r="P256" s="2">
        <v>0</v>
      </c>
      <c r="Q256" s="2">
        <v>0</v>
      </c>
      <c r="R256" s="2">
        <v>1</v>
      </c>
      <c r="S256" s="2" t="s">
        <v>1482</v>
      </c>
      <c r="T256" s="2"/>
      <c r="U256" s="2"/>
      <c r="V256" s="2" t="s">
        <v>8</v>
      </c>
      <c r="W256" s="2"/>
      <c r="X256" s="2"/>
      <c r="Y256" s="2"/>
      <c r="Z256" s="2" t="s">
        <v>8</v>
      </c>
      <c r="AA256" s="2"/>
      <c r="AB256" s="2" t="s">
        <v>8</v>
      </c>
      <c r="AC256" s="2" t="s">
        <v>8</v>
      </c>
      <c r="AD256" s="2" t="s">
        <v>8</v>
      </c>
      <c r="AE256" s="2"/>
      <c r="AF256" s="2"/>
      <c r="AG256" s="2" t="s">
        <v>8</v>
      </c>
      <c r="AH256" s="3" t="b">
        <v>0</v>
      </c>
      <c r="AI256" s="2"/>
      <c r="AJ256" s="2"/>
      <c r="AK256" s="2"/>
      <c r="AL256" s="2"/>
      <c r="AM256" s="2"/>
      <c r="AN256" s="2" t="s">
        <v>428</v>
      </c>
      <c r="AO256" s="2"/>
      <c r="AP256" s="2"/>
      <c r="AQ256" s="2" t="s">
        <v>231</v>
      </c>
    </row>
    <row r="257" spans="1:43" ht="56">
      <c r="A257" s="2" t="s">
        <v>23</v>
      </c>
      <c r="B257" s="2" t="s">
        <v>1483</v>
      </c>
      <c r="C257" s="2" t="s">
        <v>680</v>
      </c>
      <c r="D257" s="2"/>
      <c r="E257" s="2" t="s">
        <v>233</v>
      </c>
      <c r="F257" s="2" t="s">
        <v>546</v>
      </c>
      <c r="G257" s="2" t="s">
        <v>1484</v>
      </c>
      <c r="H257" s="2">
        <v>1</v>
      </c>
      <c r="I257" s="2" t="s">
        <v>1485</v>
      </c>
      <c r="J257" s="2" t="s">
        <v>1485</v>
      </c>
      <c r="K257" s="2"/>
      <c r="L257" s="2"/>
      <c r="M257" s="2"/>
      <c r="N257" s="2"/>
      <c r="O257" s="3" t="b">
        <v>1</v>
      </c>
      <c r="P257" s="2"/>
      <c r="Q257" s="2"/>
      <c r="R257" s="2"/>
      <c r="S257" s="2" t="s">
        <v>1331</v>
      </c>
      <c r="T257" s="2"/>
      <c r="U257" s="2"/>
      <c r="V257" s="2" t="s">
        <v>8</v>
      </c>
      <c r="W257" s="2"/>
      <c r="X257" s="2"/>
      <c r="Y257" s="2"/>
      <c r="Z257" s="2" t="s">
        <v>8</v>
      </c>
      <c r="AA257" s="2"/>
      <c r="AB257" s="2" t="s">
        <v>8</v>
      </c>
      <c r="AC257" s="2" t="s">
        <v>8</v>
      </c>
      <c r="AD257" s="2" t="s">
        <v>8</v>
      </c>
      <c r="AE257" s="2"/>
      <c r="AF257" s="2"/>
      <c r="AG257" s="2" t="s">
        <v>8</v>
      </c>
      <c r="AH257" s="3" t="b">
        <v>0</v>
      </c>
      <c r="AI257" s="2"/>
      <c r="AJ257" s="2"/>
      <c r="AK257" s="2"/>
      <c r="AL257" s="2"/>
      <c r="AM257" s="2"/>
      <c r="AN257" s="2" t="s">
        <v>1486</v>
      </c>
      <c r="AO257" s="2"/>
      <c r="AP257" s="2"/>
      <c r="AQ257" s="2" t="s">
        <v>231</v>
      </c>
    </row>
    <row r="258" spans="1:43" ht="56">
      <c r="A258" s="2" t="s">
        <v>23</v>
      </c>
      <c r="B258" s="2" t="s">
        <v>1487</v>
      </c>
      <c r="C258" s="2" t="s">
        <v>680</v>
      </c>
      <c r="D258" s="2"/>
      <c r="E258" s="2" t="s">
        <v>185</v>
      </c>
      <c r="F258" s="2" t="s">
        <v>562</v>
      </c>
      <c r="G258" s="2" t="s">
        <v>1488</v>
      </c>
      <c r="H258" s="2">
        <v>1</v>
      </c>
      <c r="I258" s="2" t="s">
        <v>1489</v>
      </c>
      <c r="J258" s="2" t="s">
        <v>1489</v>
      </c>
      <c r="K258" s="2">
        <v>1</v>
      </c>
      <c r="L258" s="2">
        <v>1</v>
      </c>
      <c r="M258" s="3" t="b">
        <v>1</v>
      </c>
      <c r="N258" s="3" t="b">
        <v>1</v>
      </c>
      <c r="O258" s="3" t="b">
        <v>1</v>
      </c>
      <c r="P258" s="2">
        <v>0</v>
      </c>
      <c r="Q258" s="2">
        <v>0</v>
      </c>
      <c r="R258" s="2">
        <v>0</v>
      </c>
      <c r="S258" s="2" t="s">
        <v>1331</v>
      </c>
      <c r="T258" s="2"/>
      <c r="U258" s="2"/>
      <c r="V258" s="2" t="s">
        <v>8</v>
      </c>
      <c r="W258" s="2"/>
      <c r="X258" s="2"/>
      <c r="Y258" s="2"/>
      <c r="Z258" s="2" t="s">
        <v>8</v>
      </c>
      <c r="AA258" s="2"/>
      <c r="AB258" s="2" t="s">
        <v>8</v>
      </c>
      <c r="AC258" s="2" t="s">
        <v>8</v>
      </c>
      <c r="AD258" s="2" t="s">
        <v>8</v>
      </c>
      <c r="AE258" s="2"/>
      <c r="AF258" s="2"/>
      <c r="AG258" s="2" t="s">
        <v>8</v>
      </c>
      <c r="AH258" s="3" t="b">
        <v>0</v>
      </c>
      <c r="AI258" s="2"/>
      <c r="AJ258" s="2"/>
      <c r="AK258" s="2"/>
      <c r="AL258" s="2"/>
      <c r="AM258" s="2"/>
      <c r="AN258" s="2" t="s">
        <v>1332</v>
      </c>
      <c r="AO258" s="2"/>
      <c r="AP258" s="2"/>
      <c r="AQ258" s="2" t="s">
        <v>231</v>
      </c>
    </row>
    <row r="259" spans="1:43" ht="56">
      <c r="A259" s="2" t="s">
        <v>23</v>
      </c>
      <c r="B259" s="2" t="s">
        <v>1490</v>
      </c>
      <c r="C259" s="2" t="s">
        <v>680</v>
      </c>
      <c r="D259" s="2"/>
      <c r="E259" s="2" t="s">
        <v>185</v>
      </c>
      <c r="F259" s="2" t="s">
        <v>546</v>
      </c>
      <c r="G259" s="2" t="s">
        <v>1491</v>
      </c>
      <c r="H259" s="2">
        <v>10</v>
      </c>
      <c r="I259" s="2" t="s">
        <v>1492</v>
      </c>
      <c r="J259" s="2" t="s">
        <v>1492</v>
      </c>
      <c r="K259" s="2">
        <v>10</v>
      </c>
      <c r="L259" s="2">
        <v>10</v>
      </c>
      <c r="M259" s="3" t="b">
        <v>1</v>
      </c>
      <c r="N259" s="3" t="b">
        <v>1</v>
      </c>
      <c r="O259" s="3" t="b">
        <v>1</v>
      </c>
      <c r="P259" s="2">
        <v>0</v>
      </c>
      <c r="Q259" s="2">
        <v>0</v>
      </c>
      <c r="R259" s="2">
        <v>0</v>
      </c>
      <c r="S259" s="2" t="s">
        <v>1331</v>
      </c>
      <c r="T259" s="2"/>
      <c r="U259" s="2"/>
      <c r="V259" s="2" t="s">
        <v>8</v>
      </c>
      <c r="W259" s="2"/>
      <c r="X259" s="2"/>
      <c r="Y259" s="2"/>
      <c r="Z259" s="2" t="s">
        <v>8</v>
      </c>
      <c r="AA259" s="2"/>
      <c r="AB259" s="2" t="s">
        <v>8</v>
      </c>
      <c r="AC259" s="2" t="s">
        <v>8</v>
      </c>
      <c r="AD259" s="2" t="s">
        <v>8</v>
      </c>
      <c r="AE259" s="2"/>
      <c r="AF259" s="2"/>
      <c r="AG259" s="2" t="s">
        <v>8</v>
      </c>
      <c r="AH259" s="3" t="b">
        <v>0</v>
      </c>
      <c r="AI259" s="2"/>
      <c r="AJ259" s="2"/>
      <c r="AK259" s="2"/>
      <c r="AL259" s="2"/>
      <c r="AM259" s="2"/>
      <c r="AN259" s="2" t="s">
        <v>1394</v>
      </c>
      <c r="AO259" s="2"/>
      <c r="AP259" s="2"/>
      <c r="AQ259" s="2" t="s">
        <v>231</v>
      </c>
    </row>
    <row r="260" spans="1:43" ht="56">
      <c r="A260" s="2" t="s">
        <v>23</v>
      </c>
      <c r="B260" s="2" t="s">
        <v>1493</v>
      </c>
      <c r="C260" s="2" t="s">
        <v>680</v>
      </c>
      <c r="D260" s="2"/>
      <c r="E260" s="2" t="s">
        <v>185</v>
      </c>
      <c r="F260" s="2" t="s">
        <v>546</v>
      </c>
      <c r="G260" s="2" t="s">
        <v>1494</v>
      </c>
      <c r="H260" s="2">
        <v>1</v>
      </c>
      <c r="I260" s="2" t="s">
        <v>1495</v>
      </c>
      <c r="J260" s="2" t="s">
        <v>1495</v>
      </c>
      <c r="K260" s="2">
        <v>1</v>
      </c>
      <c r="L260" s="2">
        <v>1</v>
      </c>
      <c r="M260" s="3" t="b">
        <v>1</v>
      </c>
      <c r="N260" s="3" t="b">
        <v>1</v>
      </c>
      <c r="O260" s="3" t="b">
        <v>1</v>
      </c>
      <c r="P260" s="2">
        <v>0</v>
      </c>
      <c r="Q260" s="2">
        <v>0</v>
      </c>
      <c r="R260" s="2">
        <v>0</v>
      </c>
      <c r="S260" s="2" t="s">
        <v>1331</v>
      </c>
      <c r="T260" s="2"/>
      <c r="U260" s="2"/>
      <c r="V260" s="2" t="s">
        <v>8</v>
      </c>
      <c r="W260" s="2"/>
      <c r="X260" s="2"/>
      <c r="Y260" s="2"/>
      <c r="Z260" s="2" t="s">
        <v>8</v>
      </c>
      <c r="AA260" s="2"/>
      <c r="AB260" s="2" t="s">
        <v>8</v>
      </c>
      <c r="AC260" s="2" t="s">
        <v>8</v>
      </c>
      <c r="AD260" s="2" t="s">
        <v>8</v>
      </c>
      <c r="AE260" s="2"/>
      <c r="AF260" s="2"/>
      <c r="AG260" s="2" t="s">
        <v>8</v>
      </c>
      <c r="AH260" s="3" t="b">
        <v>0</v>
      </c>
      <c r="AI260" s="2"/>
      <c r="AJ260" s="2"/>
      <c r="AK260" s="2"/>
      <c r="AL260" s="2"/>
      <c r="AM260" s="2"/>
      <c r="AN260" s="2" t="s">
        <v>1332</v>
      </c>
      <c r="AO260" s="2"/>
      <c r="AP260" s="2"/>
      <c r="AQ260" s="2" t="s">
        <v>231</v>
      </c>
    </row>
    <row r="261" spans="1:43" ht="56">
      <c r="A261" s="2" t="s">
        <v>23</v>
      </c>
      <c r="B261" s="2" t="s">
        <v>1496</v>
      </c>
      <c r="C261" s="2" t="s">
        <v>680</v>
      </c>
      <c r="D261" s="2"/>
      <c r="E261" s="2" t="s">
        <v>185</v>
      </c>
      <c r="F261" s="2" t="s">
        <v>562</v>
      </c>
      <c r="G261" s="2" t="s">
        <v>1497</v>
      </c>
      <c r="H261" s="2">
        <v>5</v>
      </c>
      <c r="I261" s="2" t="s">
        <v>1498</v>
      </c>
      <c r="J261" s="2" t="s">
        <v>1498</v>
      </c>
      <c r="K261" s="2">
        <v>5</v>
      </c>
      <c r="L261" s="2">
        <v>5</v>
      </c>
      <c r="M261" s="3" t="b">
        <v>1</v>
      </c>
      <c r="N261" s="3" t="b">
        <v>1</v>
      </c>
      <c r="O261" s="3" t="b">
        <v>1</v>
      </c>
      <c r="P261" s="2">
        <v>0</v>
      </c>
      <c r="Q261" s="2">
        <v>0</v>
      </c>
      <c r="R261" s="2">
        <v>0</v>
      </c>
      <c r="S261" s="2" t="s">
        <v>1331</v>
      </c>
      <c r="T261" s="2"/>
      <c r="U261" s="2"/>
      <c r="V261" s="2" t="s">
        <v>8</v>
      </c>
      <c r="W261" s="2"/>
      <c r="X261" s="2"/>
      <c r="Y261" s="2"/>
      <c r="Z261" s="2" t="s">
        <v>8</v>
      </c>
      <c r="AA261" s="2"/>
      <c r="AB261" s="2" t="s">
        <v>8</v>
      </c>
      <c r="AC261" s="2" t="s">
        <v>8</v>
      </c>
      <c r="AD261" s="2" t="s">
        <v>8</v>
      </c>
      <c r="AE261" s="2"/>
      <c r="AF261" s="2"/>
      <c r="AG261" s="2" t="s">
        <v>8</v>
      </c>
      <c r="AH261" s="3" t="b">
        <v>0</v>
      </c>
      <c r="AI261" s="2"/>
      <c r="AJ261" s="2"/>
      <c r="AK261" s="2"/>
      <c r="AL261" s="2"/>
      <c r="AM261" s="2"/>
      <c r="AN261" s="2" t="s">
        <v>1340</v>
      </c>
      <c r="AO261" s="2"/>
      <c r="AP261" s="2"/>
      <c r="AQ261" s="2" t="s">
        <v>231</v>
      </c>
    </row>
    <row r="262" spans="1:43" ht="56">
      <c r="A262" s="2" t="s">
        <v>23</v>
      </c>
      <c r="B262" s="2" t="s">
        <v>1499</v>
      </c>
      <c r="C262" s="2" t="s">
        <v>680</v>
      </c>
      <c r="D262" s="2"/>
      <c r="E262" s="2" t="s">
        <v>233</v>
      </c>
      <c r="F262" s="2" t="s">
        <v>562</v>
      </c>
      <c r="G262" s="2" t="s">
        <v>1500</v>
      </c>
      <c r="H262" s="2">
        <v>1</v>
      </c>
      <c r="I262" s="2" t="s">
        <v>1501</v>
      </c>
      <c r="J262" s="2" t="s">
        <v>1501</v>
      </c>
      <c r="K262" s="2"/>
      <c r="L262" s="2"/>
      <c r="M262" s="2"/>
      <c r="N262" s="2"/>
      <c r="O262" s="3" t="b">
        <v>1</v>
      </c>
      <c r="P262" s="2"/>
      <c r="Q262" s="2"/>
      <c r="R262" s="2"/>
      <c r="S262" s="2" t="s">
        <v>1331</v>
      </c>
      <c r="T262" s="2"/>
      <c r="U262" s="2"/>
      <c r="V262" s="2" t="s">
        <v>8</v>
      </c>
      <c r="W262" s="2"/>
      <c r="X262" s="2"/>
      <c r="Y262" s="2"/>
      <c r="Z262" s="2" t="s">
        <v>8</v>
      </c>
      <c r="AA262" s="2"/>
      <c r="AB262" s="2" t="s">
        <v>8</v>
      </c>
      <c r="AC262" s="2" t="s">
        <v>8</v>
      </c>
      <c r="AD262" s="2" t="s">
        <v>8</v>
      </c>
      <c r="AE262" s="2"/>
      <c r="AF262" s="2"/>
      <c r="AG262" s="2" t="s">
        <v>8</v>
      </c>
      <c r="AH262" s="3" t="b">
        <v>0</v>
      </c>
      <c r="AI262" s="2"/>
      <c r="AJ262" s="2"/>
      <c r="AK262" s="2"/>
      <c r="AL262" s="2"/>
      <c r="AM262" s="2"/>
      <c r="AN262" s="2" t="s">
        <v>1502</v>
      </c>
      <c r="AO262" s="2"/>
      <c r="AP262" s="2"/>
      <c r="AQ262" s="2" t="s">
        <v>231</v>
      </c>
    </row>
    <row r="263" spans="1:43" ht="56">
      <c r="A263" s="2" t="s">
        <v>23</v>
      </c>
      <c r="B263" s="2" t="s">
        <v>1503</v>
      </c>
      <c r="C263" s="2" t="s">
        <v>680</v>
      </c>
      <c r="D263" s="2"/>
      <c r="E263" s="2" t="s">
        <v>233</v>
      </c>
      <c r="F263" s="2" t="s">
        <v>572</v>
      </c>
      <c r="G263" s="2" t="s">
        <v>1504</v>
      </c>
      <c r="H263" s="2">
        <v>1</v>
      </c>
      <c r="I263" s="2" t="s">
        <v>1505</v>
      </c>
      <c r="J263" s="2" t="s">
        <v>1505</v>
      </c>
      <c r="K263" s="2"/>
      <c r="L263" s="2"/>
      <c r="M263" s="2"/>
      <c r="N263" s="2"/>
      <c r="O263" s="3" t="b">
        <v>1</v>
      </c>
      <c r="P263" s="2"/>
      <c r="Q263" s="2"/>
      <c r="R263" s="2"/>
      <c r="S263" s="2" t="s">
        <v>1331</v>
      </c>
      <c r="T263" s="2"/>
      <c r="U263" s="2"/>
      <c r="V263" s="2" t="s">
        <v>8</v>
      </c>
      <c r="W263" s="2"/>
      <c r="X263" s="2"/>
      <c r="Y263" s="2"/>
      <c r="Z263" s="2" t="s">
        <v>8</v>
      </c>
      <c r="AA263" s="2"/>
      <c r="AB263" s="2" t="s">
        <v>8</v>
      </c>
      <c r="AC263" s="2" t="s">
        <v>8</v>
      </c>
      <c r="AD263" s="2" t="s">
        <v>8</v>
      </c>
      <c r="AE263" s="2"/>
      <c r="AF263" s="2"/>
      <c r="AG263" s="2" t="s">
        <v>8</v>
      </c>
      <c r="AH263" s="3" t="b">
        <v>0</v>
      </c>
      <c r="AI263" s="2"/>
      <c r="AJ263" s="2"/>
      <c r="AK263" s="2"/>
      <c r="AL263" s="2"/>
      <c r="AM263" s="2"/>
      <c r="AN263" s="2" t="s">
        <v>1506</v>
      </c>
      <c r="AO263" s="2"/>
      <c r="AP263" s="2"/>
      <c r="AQ263" s="2" t="s">
        <v>231</v>
      </c>
    </row>
    <row r="264" spans="1:43" ht="56">
      <c r="A264" s="2" t="s">
        <v>23</v>
      </c>
      <c r="B264" s="2" t="s">
        <v>1507</v>
      </c>
      <c r="C264" s="2" t="s">
        <v>680</v>
      </c>
      <c r="D264" s="2"/>
      <c r="E264" s="2" t="s">
        <v>193</v>
      </c>
      <c r="F264" s="2" t="s">
        <v>572</v>
      </c>
      <c r="G264" s="2" t="s">
        <v>1508</v>
      </c>
      <c r="H264" s="2">
        <v>1</v>
      </c>
      <c r="I264" s="2" t="s">
        <v>1509</v>
      </c>
      <c r="J264" s="2" t="s">
        <v>1509</v>
      </c>
      <c r="K264" s="2">
        <v>1</v>
      </c>
      <c r="L264" s="2">
        <v>1</v>
      </c>
      <c r="M264" s="3" t="b">
        <v>1</v>
      </c>
      <c r="N264" s="3" t="b">
        <v>1</v>
      </c>
      <c r="O264" s="3" t="b">
        <v>1</v>
      </c>
      <c r="P264" s="2">
        <v>0</v>
      </c>
      <c r="Q264" s="2">
        <v>0</v>
      </c>
      <c r="R264" s="2">
        <v>0</v>
      </c>
      <c r="S264" s="2" t="s">
        <v>1331</v>
      </c>
      <c r="T264" s="2"/>
      <c r="U264" s="2"/>
      <c r="V264" s="2" t="s">
        <v>8</v>
      </c>
      <c r="W264" s="2"/>
      <c r="X264" s="2"/>
      <c r="Y264" s="2"/>
      <c r="Z264" s="2" t="s">
        <v>8</v>
      </c>
      <c r="AA264" s="2"/>
      <c r="AB264" s="2" t="s">
        <v>8</v>
      </c>
      <c r="AC264" s="2" t="s">
        <v>8</v>
      </c>
      <c r="AD264" s="2" t="s">
        <v>8</v>
      </c>
      <c r="AE264" s="2"/>
      <c r="AF264" s="2"/>
      <c r="AG264" s="2" t="s">
        <v>8</v>
      </c>
      <c r="AH264" s="3" t="b">
        <v>0</v>
      </c>
      <c r="AI264" s="2"/>
      <c r="AJ264" s="2"/>
      <c r="AK264" s="2"/>
      <c r="AL264" s="2"/>
      <c r="AM264" s="2"/>
      <c r="AN264" s="2" t="s">
        <v>1332</v>
      </c>
      <c r="AO264" s="2"/>
      <c r="AP264" s="2"/>
      <c r="AQ264" s="2" t="s">
        <v>231</v>
      </c>
    </row>
    <row r="265" spans="1:43" ht="56">
      <c r="A265" s="2" t="s">
        <v>23</v>
      </c>
      <c r="B265" s="2" t="s">
        <v>1510</v>
      </c>
      <c r="C265" s="2" t="s">
        <v>680</v>
      </c>
      <c r="D265" s="2"/>
      <c r="E265" s="2" t="s">
        <v>193</v>
      </c>
      <c r="F265" s="2" t="s">
        <v>562</v>
      </c>
      <c r="G265" s="2" t="s">
        <v>1511</v>
      </c>
      <c r="H265" s="2">
        <v>8</v>
      </c>
      <c r="I265" s="2" t="s">
        <v>1512</v>
      </c>
      <c r="J265" s="2" t="s">
        <v>1512</v>
      </c>
      <c r="K265" s="2">
        <v>8</v>
      </c>
      <c r="L265" s="2">
        <v>8</v>
      </c>
      <c r="M265" s="3" t="b">
        <v>1</v>
      </c>
      <c r="N265" s="3" t="b">
        <v>1</v>
      </c>
      <c r="O265" s="3" t="b">
        <v>1</v>
      </c>
      <c r="P265" s="2">
        <v>0</v>
      </c>
      <c r="Q265" s="2">
        <v>0</v>
      </c>
      <c r="R265" s="2">
        <v>0</v>
      </c>
      <c r="S265" s="2" t="s">
        <v>1331</v>
      </c>
      <c r="T265" s="2"/>
      <c r="U265" s="2"/>
      <c r="V265" s="2" t="s">
        <v>8</v>
      </c>
      <c r="W265" s="2"/>
      <c r="X265" s="2"/>
      <c r="Y265" s="2"/>
      <c r="Z265" s="2" t="s">
        <v>8</v>
      </c>
      <c r="AA265" s="2"/>
      <c r="AB265" s="2" t="s">
        <v>8</v>
      </c>
      <c r="AC265" s="2" t="s">
        <v>8</v>
      </c>
      <c r="AD265" s="2" t="s">
        <v>8</v>
      </c>
      <c r="AE265" s="2"/>
      <c r="AF265" s="2"/>
      <c r="AG265" s="2" t="s">
        <v>8</v>
      </c>
      <c r="AH265" s="3" t="b">
        <v>0</v>
      </c>
      <c r="AI265" s="2"/>
      <c r="AJ265" s="2"/>
      <c r="AK265" s="2"/>
      <c r="AL265" s="2"/>
      <c r="AM265" s="2"/>
      <c r="AN265" s="2" t="s">
        <v>1369</v>
      </c>
      <c r="AO265" s="2"/>
      <c r="AP265" s="2"/>
      <c r="AQ265" s="2" t="s">
        <v>231</v>
      </c>
    </row>
    <row r="266" spans="1:43" ht="56">
      <c r="A266" s="2" t="s">
        <v>23</v>
      </c>
      <c r="B266" s="2" t="s">
        <v>1513</v>
      </c>
      <c r="C266" s="2" t="s">
        <v>680</v>
      </c>
      <c r="D266" s="2"/>
      <c r="E266" s="2" t="s">
        <v>200</v>
      </c>
      <c r="F266" s="2" t="s">
        <v>546</v>
      </c>
      <c r="G266" s="2" t="s">
        <v>1514</v>
      </c>
      <c r="H266" s="2">
        <v>6</v>
      </c>
      <c r="I266" s="2" t="s">
        <v>1515</v>
      </c>
      <c r="J266" s="2" t="s">
        <v>1515</v>
      </c>
      <c r="K266" s="2">
        <v>6</v>
      </c>
      <c r="L266" s="2">
        <v>6</v>
      </c>
      <c r="M266" s="3" t="b">
        <v>1</v>
      </c>
      <c r="N266" s="3" t="b">
        <v>1</v>
      </c>
      <c r="O266" s="3" t="b">
        <v>1</v>
      </c>
      <c r="P266" s="2">
        <v>0</v>
      </c>
      <c r="Q266" s="2">
        <v>0</v>
      </c>
      <c r="R266" s="2">
        <v>0</v>
      </c>
      <c r="S266" s="2" t="s">
        <v>1331</v>
      </c>
      <c r="T266" s="2"/>
      <c r="U266" s="2"/>
      <c r="V266" s="2" t="s">
        <v>8</v>
      </c>
      <c r="W266" s="2"/>
      <c r="X266" s="2"/>
      <c r="Y266" s="2"/>
      <c r="Z266" s="2" t="s">
        <v>8</v>
      </c>
      <c r="AA266" s="2"/>
      <c r="AB266" s="2" t="s">
        <v>8</v>
      </c>
      <c r="AC266" s="2" t="s">
        <v>8</v>
      </c>
      <c r="AD266" s="2" t="s">
        <v>8</v>
      </c>
      <c r="AE266" s="2"/>
      <c r="AF266" s="2"/>
      <c r="AG266" s="2" t="s">
        <v>8</v>
      </c>
      <c r="AH266" s="3" t="b">
        <v>0</v>
      </c>
      <c r="AI266" s="2"/>
      <c r="AJ266" s="2"/>
      <c r="AK266" s="2"/>
      <c r="AL266" s="2"/>
      <c r="AM266" s="2"/>
      <c r="AN266" s="2" t="s">
        <v>1467</v>
      </c>
      <c r="AO266" s="2"/>
      <c r="AP266" s="2"/>
      <c r="AQ266" s="2" t="s">
        <v>231</v>
      </c>
    </row>
    <row r="267" spans="1:43" ht="56">
      <c r="A267" s="2" t="s">
        <v>23</v>
      </c>
      <c r="B267" s="2" t="s">
        <v>1516</v>
      </c>
      <c r="C267" s="2" t="s">
        <v>680</v>
      </c>
      <c r="D267" s="2"/>
      <c r="E267" s="2" t="s">
        <v>193</v>
      </c>
      <c r="F267" s="2" t="s">
        <v>546</v>
      </c>
      <c r="G267" s="2" t="s">
        <v>1517</v>
      </c>
      <c r="H267" s="2">
        <v>3</v>
      </c>
      <c r="I267" s="2" t="s">
        <v>1518</v>
      </c>
      <c r="J267" s="2" t="s">
        <v>1518</v>
      </c>
      <c r="K267" s="2">
        <v>3</v>
      </c>
      <c r="L267" s="2">
        <v>3</v>
      </c>
      <c r="M267" s="3" t="b">
        <v>1</v>
      </c>
      <c r="N267" s="3" t="b">
        <v>1</v>
      </c>
      <c r="O267" s="3" t="b">
        <v>1</v>
      </c>
      <c r="P267" s="2">
        <v>0</v>
      </c>
      <c r="Q267" s="2">
        <v>0</v>
      </c>
      <c r="R267" s="2">
        <v>0</v>
      </c>
      <c r="S267" s="2" t="s">
        <v>1331</v>
      </c>
      <c r="T267" s="2"/>
      <c r="U267" s="2"/>
      <c r="V267" s="2" t="s">
        <v>8</v>
      </c>
      <c r="W267" s="2"/>
      <c r="X267" s="2"/>
      <c r="Y267" s="2"/>
      <c r="Z267" s="2" t="s">
        <v>8</v>
      </c>
      <c r="AA267" s="2"/>
      <c r="AB267" s="2" t="s">
        <v>8</v>
      </c>
      <c r="AC267" s="2" t="s">
        <v>8</v>
      </c>
      <c r="AD267" s="2" t="s">
        <v>8</v>
      </c>
      <c r="AE267" s="2"/>
      <c r="AF267" s="2"/>
      <c r="AG267" s="2" t="s">
        <v>8</v>
      </c>
      <c r="AH267" s="3" t="b">
        <v>0</v>
      </c>
      <c r="AI267" s="2"/>
      <c r="AJ267" s="2"/>
      <c r="AK267" s="2"/>
      <c r="AL267" s="2"/>
      <c r="AM267" s="2"/>
      <c r="AN267" s="2" t="s">
        <v>1373</v>
      </c>
      <c r="AO267" s="2"/>
      <c r="AP267" s="2"/>
      <c r="AQ267" s="2" t="s">
        <v>231</v>
      </c>
    </row>
    <row r="268" spans="1:43" ht="56">
      <c r="A268" s="2" t="s">
        <v>23</v>
      </c>
      <c r="B268" s="2" t="s">
        <v>1519</v>
      </c>
      <c r="C268" s="2" t="s">
        <v>680</v>
      </c>
      <c r="D268" s="2"/>
      <c r="E268" s="2" t="s">
        <v>193</v>
      </c>
      <c r="F268" s="2" t="s">
        <v>562</v>
      </c>
      <c r="G268" s="2" t="s">
        <v>1520</v>
      </c>
      <c r="H268" s="2">
        <v>4</v>
      </c>
      <c r="I268" s="2" t="s">
        <v>1521</v>
      </c>
      <c r="J268" s="2" t="s">
        <v>1521</v>
      </c>
      <c r="K268" s="2">
        <v>4</v>
      </c>
      <c r="L268" s="2">
        <v>4</v>
      </c>
      <c r="M268" s="3" t="b">
        <v>1</v>
      </c>
      <c r="N268" s="3" t="b">
        <v>1</v>
      </c>
      <c r="O268" s="3" t="b">
        <v>1</v>
      </c>
      <c r="P268" s="2">
        <v>0</v>
      </c>
      <c r="Q268" s="2">
        <v>0</v>
      </c>
      <c r="R268" s="2">
        <v>0</v>
      </c>
      <c r="S268" s="2" t="s">
        <v>1331</v>
      </c>
      <c r="T268" s="2"/>
      <c r="U268" s="2"/>
      <c r="V268" s="2" t="s">
        <v>8</v>
      </c>
      <c r="W268" s="2"/>
      <c r="X268" s="2"/>
      <c r="Y268" s="2"/>
      <c r="Z268" s="2" t="s">
        <v>8</v>
      </c>
      <c r="AA268" s="2"/>
      <c r="AB268" s="2" t="s">
        <v>8</v>
      </c>
      <c r="AC268" s="2" t="s">
        <v>8</v>
      </c>
      <c r="AD268" s="2" t="s">
        <v>8</v>
      </c>
      <c r="AE268" s="2"/>
      <c r="AF268" s="2"/>
      <c r="AG268" s="2" t="s">
        <v>8</v>
      </c>
      <c r="AH268" s="3" t="b">
        <v>0</v>
      </c>
      <c r="AI268" s="2"/>
      <c r="AJ268" s="2"/>
      <c r="AK268" s="2"/>
      <c r="AL268" s="2"/>
      <c r="AM268" s="2"/>
      <c r="AN268" s="2" t="s">
        <v>1351</v>
      </c>
      <c r="AO268" s="2"/>
      <c r="AP268" s="2"/>
      <c r="AQ268" s="2" t="s">
        <v>231</v>
      </c>
    </row>
    <row r="269" spans="1:43" ht="56">
      <c r="A269" s="2" t="s">
        <v>23</v>
      </c>
      <c r="B269" s="2" t="s">
        <v>1522</v>
      </c>
      <c r="C269" s="2" t="s">
        <v>680</v>
      </c>
      <c r="D269" s="2"/>
      <c r="E269" s="2" t="s">
        <v>193</v>
      </c>
      <c r="F269" s="2" t="s">
        <v>572</v>
      </c>
      <c r="G269" s="2" t="s">
        <v>1523</v>
      </c>
      <c r="H269" s="2">
        <v>6</v>
      </c>
      <c r="I269" s="2" t="s">
        <v>1524</v>
      </c>
      <c r="J269" s="2" t="s">
        <v>1524</v>
      </c>
      <c r="K269" s="2">
        <v>6</v>
      </c>
      <c r="L269" s="2">
        <v>6</v>
      </c>
      <c r="M269" s="3" t="b">
        <v>1</v>
      </c>
      <c r="N269" s="3" t="b">
        <v>1</v>
      </c>
      <c r="O269" s="3" t="b">
        <v>1</v>
      </c>
      <c r="P269" s="2">
        <v>0</v>
      </c>
      <c r="Q269" s="2">
        <v>0</v>
      </c>
      <c r="R269" s="2">
        <v>0</v>
      </c>
      <c r="S269" s="2" t="s">
        <v>1331</v>
      </c>
      <c r="T269" s="2"/>
      <c r="U269" s="2"/>
      <c r="V269" s="2" t="s">
        <v>8</v>
      </c>
      <c r="W269" s="2"/>
      <c r="X269" s="2"/>
      <c r="Y269" s="2"/>
      <c r="Z269" s="2" t="s">
        <v>8</v>
      </c>
      <c r="AA269" s="2"/>
      <c r="AB269" s="2" t="s">
        <v>8</v>
      </c>
      <c r="AC269" s="2" t="s">
        <v>8</v>
      </c>
      <c r="AD269" s="2" t="s">
        <v>8</v>
      </c>
      <c r="AE269" s="2"/>
      <c r="AF269" s="2"/>
      <c r="AG269" s="2" t="s">
        <v>8</v>
      </c>
      <c r="AH269" s="3" t="b">
        <v>0</v>
      </c>
      <c r="AI269" s="2"/>
      <c r="AJ269" s="2"/>
      <c r="AK269" s="2"/>
      <c r="AL269" s="2"/>
      <c r="AM269" s="2"/>
      <c r="AN269" s="2" t="s">
        <v>1467</v>
      </c>
      <c r="AO269" s="2"/>
      <c r="AP269" s="2"/>
      <c r="AQ269" s="2" t="s">
        <v>231</v>
      </c>
    </row>
    <row r="270" spans="1:43" ht="56">
      <c r="A270" s="2" t="s">
        <v>23</v>
      </c>
      <c r="B270" s="2" t="s">
        <v>1525</v>
      </c>
      <c r="C270" s="2" t="s">
        <v>680</v>
      </c>
      <c r="D270" s="2"/>
      <c r="E270" s="2" t="s">
        <v>200</v>
      </c>
      <c r="F270" s="2" t="s">
        <v>562</v>
      </c>
      <c r="G270" s="2" t="s">
        <v>1526</v>
      </c>
      <c r="H270" s="2">
        <v>5</v>
      </c>
      <c r="I270" s="2" t="s">
        <v>1527</v>
      </c>
      <c r="J270" s="2" t="s">
        <v>1527</v>
      </c>
      <c r="K270" s="2">
        <v>5</v>
      </c>
      <c r="L270" s="2">
        <v>5</v>
      </c>
      <c r="M270" s="3" t="b">
        <v>1</v>
      </c>
      <c r="N270" s="3" t="b">
        <v>1</v>
      </c>
      <c r="O270" s="3" t="b">
        <v>1</v>
      </c>
      <c r="P270" s="2">
        <v>0</v>
      </c>
      <c r="Q270" s="2">
        <v>0</v>
      </c>
      <c r="R270" s="2">
        <v>0</v>
      </c>
      <c r="S270" s="2" t="s">
        <v>1331</v>
      </c>
      <c r="T270" s="2"/>
      <c r="U270" s="2"/>
      <c r="V270" s="2" t="s">
        <v>8</v>
      </c>
      <c r="W270" s="2"/>
      <c r="X270" s="2"/>
      <c r="Y270" s="2"/>
      <c r="Z270" s="2" t="s">
        <v>8</v>
      </c>
      <c r="AA270" s="2"/>
      <c r="AB270" s="2" t="s">
        <v>8</v>
      </c>
      <c r="AC270" s="2" t="s">
        <v>8</v>
      </c>
      <c r="AD270" s="2" t="s">
        <v>8</v>
      </c>
      <c r="AE270" s="2"/>
      <c r="AF270" s="2"/>
      <c r="AG270" s="2" t="s">
        <v>8</v>
      </c>
      <c r="AH270" s="3" t="b">
        <v>0</v>
      </c>
      <c r="AI270" s="2"/>
      <c r="AJ270" s="2"/>
      <c r="AK270" s="2"/>
      <c r="AL270" s="2"/>
      <c r="AM270" s="2"/>
      <c r="AN270" s="2" t="s">
        <v>1340</v>
      </c>
      <c r="AO270" s="2"/>
      <c r="AP270" s="2"/>
      <c r="AQ270" s="2" t="s">
        <v>231</v>
      </c>
    </row>
    <row r="271" spans="1:43" ht="56">
      <c r="A271" s="2" t="s">
        <v>23</v>
      </c>
      <c r="B271" s="2" t="s">
        <v>1528</v>
      </c>
      <c r="C271" s="2" t="s">
        <v>680</v>
      </c>
      <c r="D271" s="2"/>
      <c r="E271" s="2" t="s">
        <v>200</v>
      </c>
      <c r="F271" s="2" t="s">
        <v>572</v>
      </c>
      <c r="G271" s="2" t="s">
        <v>1529</v>
      </c>
      <c r="H271" s="2">
        <v>10</v>
      </c>
      <c r="I271" s="2" t="s">
        <v>1530</v>
      </c>
      <c r="J271" s="2" t="s">
        <v>1530</v>
      </c>
      <c r="K271" s="2">
        <v>10</v>
      </c>
      <c r="L271" s="2">
        <v>10</v>
      </c>
      <c r="M271" s="3" t="b">
        <v>1</v>
      </c>
      <c r="N271" s="3" t="b">
        <v>1</v>
      </c>
      <c r="O271" s="3" t="b">
        <v>1</v>
      </c>
      <c r="P271" s="2">
        <v>0</v>
      </c>
      <c r="Q271" s="2">
        <v>0</v>
      </c>
      <c r="R271" s="2">
        <v>0</v>
      </c>
      <c r="S271" s="2" t="s">
        <v>1331</v>
      </c>
      <c r="T271" s="2"/>
      <c r="U271" s="2"/>
      <c r="V271" s="2" t="s">
        <v>8</v>
      </c>
      <c r="W271" s="2"/>
      <c r="X271" s="2"/>
      <c r="Y271" s="2"/>
      <c r="Z271" s="2" t="s">
        <v>8</v>
      </c>
      <c r="AA271" s="2"/>
      <c r="AB271" s="2" t="s">
        <v>8</v>
      </c>
      <c r="AC271" s="2" t="s">
        <v>8</v>
      </c>
      <c r="AD271" s="2" t="s">
        <v>8</v>
      </c>
      <c r="AE271" s="2"/>
      <c r="AF271" s="2"/>
      <c r="AG271" s="2" t="s">
        <v>8</v>
      </c>
      <c r="AH271" s="3" t="b">
        <v>0</v>
      </c>
      <c r="AI271" s="2"/>
      <c r="AJ271" s="2"/>
      <c r="AK271" s="2"/>
      <c r="AL271" s="2"/>
      <c r="AM271" s="2"/>
      <c r="AN271" s="2" t="s">
        <v>1394</v>
      </c>
      <c r="AO271" s="2"/>
      <c r="AP271" s="2"/>
      <c r="AQ271" s="2" t="s">
        <v>231</v>
      </c>
    </row>
    <row r="272" spans="1:43" ht="56">
      <c r="A272" s="2" t="s">
        <v>23</v>
      </c>
      <c r="B272" s="2" t="s">
        <v>1531</v>
      </c>
      <c r="C272" s="2" t="s">
        <v>680</v>
      </c>
      <c r="D272" s="2"/>
      <c r="E272" s="2" t="s">
        <v>185</v>
      </c>
      <c r="F272" s="2" t="s">
        <v>572</v>
      </c>
      <c r="G272" s="2" t="s">
        <v>1532</v>
      </c>
      <c r="H272" s="2">
        <v>12</v>
      </c>
      <c r="I272" s="2" t="s">
        <v>1533</v>
      </c>
      <c r="J272" s="2" t="s">
        <v>1533</v>
      </c>
      <c r="K272" s="2">
        <v>12</v>
      </c>
      <c r="L272" s="2">
        <v>12</v>
      </c>
      <c r="M272" s="3" t="b">
        <v>1</v>
      </c>
      <c r="N272" s="3" t="b">
        <v>1</v>
      </c>
      <c r="O272" s="3" t="b">
        <v>1</v>
      </c>
      <c r="P272" s="2">
        <v>0</v>
      </c>
      <c r="Q272" s="2">
        <v>0</v>
      </c>
      <c r="R272" s="2">
        <v>0</v>
      </c>
      <c r="S272" s="2" t="s">
        <v>1331</v>
      </c>
      <c r="T272" s="2"/>
      <c r="U272" s="2"/>
      <c r="V272" s="2" t="s">
        <v>8</v>
      </c>
      <c r="W272" s="2"/>
      <c r="X272" s="2"/>
      <c r="Y272" s="2"/>
      <c r="Z272" s="2" t="s">
        <v>8</v>
      </c>
      <c r="AA272" s="2"/>
      <c r="AB272" s="2" t="s">
        <v>8</v>
      </c>
      <c r="AC272" s="2" t="s">
        <v>8</v>
      </c>
      <c r="AD272" s="2" t="s">
        <v>8</v>
      </c>
      <c r="AE272" s="2"/>
      <c r="AF272" s="2"/>
      <c r="AG272" s="2" t="s">
        <v>8</v>
      </c>
      <c r="AH272" s="3" t="b">
        <v>0</v>
      </c>
      <c r="AI272" s="2"/>
      <c r="AJ272" s="2"/>
      <c r="AK272" s="2"/>
      <c r="AL272" s="2"/>
      <c r="AM272" s="2"/>
      <c r="AN272" s="2" t="s">
        <v>1534</v>
      </c>
      <c r="AO272" s="2"/>
      <c r="AP272" s="2"/>
      <c r="AQ272" s="2" t="s">
        <v>231</v>
      </c>
    </row>
    <row r="273" spans="1:43" ht="56">
      <c r="A273" s="2" t="s">
        <v>23</v>
      </c>
      <c r="B273" s="2" t="s">
        <v>1535</v>
      </c>
      <c r="C273" s="2" t="s">
        <v>680</v>
      </c>
      <c r="D273" s="2"/>
      <c r="E273" s="2" t="s">
        <v>185</v>
      </c>
      <c r="F273" s="2" t="s">
        <v>562</v>
      </c>
      <c r="G273" s="2" t="s">
        <v>1536</v>
      </c>
      <c r="H273" s="2">
        <v>12</v>
      </c>
      <c r="I273" s="2" t="s">
        <v>1537</v>
      </c>
      <c r="J273" s="2" t="s">
        <v>1537</v>
      </c>
      <c r="K273" s="2">
        <v>12</v>
      </c>
      <c r="L273" s="2">
        <v>12</v>
      </c>
      <c r="M273" s="3" t="b">
        <v>1</v>
      </c>
      <c r="N273" s="3" t="b">
        <v>1</v>
      </c>
      <c r="O273" s="3" t="b">
        <v>1</v>
      </c>
      <c r="P273" s="2">
        <v>0</v>
      </c>
      <c r="Q273" s="2">
        <v>0</v>
      </c>
      <c r="R273" s="2">
        <v>0</v>
      </c>
      <c r="S273" s="2" t="s">
        <v>1331</v>
      </c>
      <c r="T273" s="2"/>
      <c r="U273" s="2"/>
      <c r="V273" s="2" t="s">
        <v>8</v>
      </c>
      <c r="W273" s="2"/>
      <c r="X273" s="2"/>
      <c r="Y273" s="2"/>
      <c r="Z273" s="2" t="s">
        <v>8</v>
      </c>
      <c r="AA273" s="2"/>
      <c r="AB273" s="2" t="s">
        <v>8</v>
      </c>
      <c r="AC273" s="2" t="s">
        <v>8</v>
      </c>
      <c r="AD273" s="2" t="s">
        <v>8</v>
      </c>
      <c r="AE273" s="2"/>
      <c r="AF273" s="2"/>
      <c r="AG273" s="2" t="s">
        <v>8</v>
      </c>
      <c r="AH273" s="3" t="b">
        <v>0</v>
      </c>
      <c r="AI273" s="2"/>
      <c r="AJ273" s="2"/>
      <c r="AK273" s="2"/>
      <c r="AL273" s="2"/>
      <c r="AM273" s="2"/>
      <c r="AN273" s="2" t="s">
        <v>1534</v>
      </c>
      <c r="AO273" s="2"/>
      <c r="AP273" s="2"/>
      <c r="AQ273" s="2" t="s">
        <v>231</v>
      </c>
    </row>
    <row r="274" spans="1:43" ht="56">
      <c r="A274" s="2" t="s">
        <v>23</v>
      </c>
      <c r="B274" s="2" t="s">
        <v>1538</v>
      </c>
      <c r="C274" s="2" t="s">
        <v>680</v>
      </c>
      <c r="D274" s="2"/>
      <c r="E274" s="2" t="s">
        <v>233</v>
      </c>
      <c r="F274" s="2" t="s">
        <v>546</v>
      </c>
      <c r="G274" s="2" t="s">
        <v>1539</v>
      </c>
      <c r="H274" s="2">
        <v>1</v>
      </c>
      <c r="I274" s="2" t="s">
        <v>1540</v>
      </c>
      <c r="J274" s="2" t="s">
        <v>1540</v>
      </c>
      <c r="K274" s="2"/>
      <c r="L274" s="2"/>
      <c r="M274" s="2"/>
      <c r="N274" s="2"/>
      <c r="O274" s="3" t="b">
        <v>1</v>
      </c>
      <c r="P274" s="2"/>
      <c r="Q274" s="2"/>
      <c r="R274" s="2"/>
      <c r="S274" s="2" t="s">
        <v>1331</v>
      </c>
      <c r="T274" s="2"/>
      <c r="U274" s="2"/>
      <c r="V274" s="2" t="s">
        <v>8</v>
      </c>
      <c r="W274" s="2"/>
      <c r="X274" s="2"/>
      <c r="Y274" s="2"/>
      <c r="Z274" s="2" t="s">
        <v>8</v>
      </c>
      <c r="AA274" s="2"/>
      <c r="AB274" s="2" t="s">
        <v>8</v>
      </c>
      <c r="AC274" s="2" t="s">
        <v>8</v>
      </c>
      <c r="AD274" s="2" t="s">
        <v>8</v>
      </c>
      <c r="AE274" s="2"/>
      <c r="AF274" s="2"/>
      <c r="AG274" s="2" t="s">
        <v>8</v>
      </c>
      <c r="AH274" s="3" t="b">
        <v>0</v>
      </c>
      <c r="AI274" s="2"/>
      <c r="AJ274" s="2"/>
      <c r="AK274" s="2"/>
      <c r="AL274" s="2"/>
      <c r="AM274" s="2"/>
      <c r="AN274" s="2" t="s">
        <v>1502</v>
      </c>
      <c r="AO274" s="2"/>
      <c r="AP274" s="2"/>
      <c r="AQ274" s="2" t="s">
        <v>231</v>
      </c>
    </row>
    <row r="275" spans="1:43" ht="56">
      <c r="A275" s="2" t="s">
        <v>23</v>
      </c>
      <c r="B275" s="2" t="s">
        <v>1541</v>
      </c>
      <c r="C275" s="2" t="s">
        <v>680</v>
      </c>
      <c r="D275" s="2"/>
      <c r="E275" s="2" t="s">
        <v>233</v>
      </c>
      <c r="F275" s="2" t="s">
        <v>562</v>
      </c>
      <c r="G275" s="2" t="s">
        <v>1542</v>
      </c>
      <c r="H275" s="2">
        <v>1</v>
      </c>
      <c r="I275" s="2" t="s">
        <v>1543</v>
      </c>
      <c r="J275" s="2" t="s">
        <v>1543</v>
      </c>
      <c r="K275" s="2"/>
      <c r="L275" s="2"/>
      <c r="M275" s="2"/>
      <c r="N275" s="2"/>
      <c r="O275" s="3" t="b">
        <v>1</v>
      </c>
      <c r="P275" s="2"/>
      <c r="Q275" s="2"/>
      <c r="R275" s="2"/>
      <c r="S275" s="2" t="s">
        <v>1331</v>
      </c>
      <c r="T275" s="2"/>
      <c r="U275" s="2"/>
      <c r="V275" s="2" t="s">
        <v>8</v>
      </c>
      <c r="W275" s="2"/>
      <c r="X275" s="2"/>
      <c r="Y275" s="2"/>
      <c r="Z275" s="2" t="s">
        <v>8</v>
      </c>
      <c r="AA275" s="2"/>
      <c r="AB275" s="2" t="s">
        <v>8</v>
      </c>
      <c r="AC275" s="2" t="s">
        <v>8</v>
      </c>
      <c r="AD275" s="2" t="s">
        <v>8</v>
      </c>
      <c r="AE275" s="2"/>
      <c r="AF275" s="2"/>
      <c r="AG275" s="2" t="s">
        <v>8</v>
      </c>
      <c r="AH275" s="3" t="b">
        <v>0</v>
      </c>
      <c r="AI275" s="2"/>
      <c r="AJ275" s="2"/>
      <c r="AK275" s="2"/>
      <c r="AL275" s="2"/>
      <c r="AM275" s="2"/>
      <c r="AN275" s="2" t="s">
        <v>1355</v>
      </c>
      <c r="AO275" s="2"/>
      <c r="AP275" s="2"/>
      <c r="AQ275" s="2" t="s">
        <v>231</v>
      </c>
    </row>
    <row r="276" spans="1:43" ht="56">
      <c r="A276" s="2" t="s">
        <v>23</v>
      </c>
      <c r="B276" s="2" t="s">
        <v>1544</v>
      </c>
      <c r="C276" s="2" t="s">
        <v>680</v>
      </c>
      <c r="D276" s="2"/>
      <c r="E276" s="2" t="s">
        <v>233</v>
      </c>
      <c r="F276" s="2" t="s">
        <v>546</v>
      </c>
      <c r="G276" s="2" t="s">
        <v>1545</v>
      </c>
      <c r="H276" s="2">
        <v>1</v>
      </c>
      <c r="I276" s="2" t="s">
        <v>1546</v>
      </c>
      <c r="J276" s="2" t="s">
        <v>1546</v>
      </c>
      <c r="K276" s="2"/>
      <c r="L276" s="2"/>
      <c r="M276" s="2"/>
      <c r="N276" s="2"/>
      <c r="O276" s="3" t="b">
        <v>1</v>
      </c>
      <c r="P276" s="2"/>
      <c r="Q276" s="2"/>
      <c r="R276" s="2"/>
      <c r="S276" s="2" t="s">
        <v>1331</v>
      </c>
      <c r="T276" s="2"/>
      <c r="U276" s="2"/>
      <c r="V276" s="2" t="s">
        <v>8</v>
      </c>
      <c r="W276" s="2"/>
      <c r="X276" s="2"/>
      <c r="Y276" s="2"/>
      <c r="Z276" s="2" t="s">
        <v>8</v>
      </c>
      <c r="AA276" s="2"/>
      <c r="AB276" s="2" t="s">
        <v>8</v>
      </c>
      <c r="AC276" s="2" t="s">
        <v>8</v>
      </c>
      <c r="AD276" s="2" t="s">
        <v>8</v>
      </c>
      <c r="AE276" s="2"/>
      <c r="AF276" s="2"/>
      <c r="AG276" s="2" t="s">
        <v>8</v>
      </c>
      <c r="AH276" s="3" t="b">
        <v>0</v>
      </c>
      <c r="AI276" s="2"/>
      <c r="AJ276" s="2"/>
      <c r="AK276" s="2"/>
      <c r="AL276" s="2"/>
      <c r="AM276" s="2"/>
      <c r="AN276" s="2" t="s">
        <v>1547</v>
      </c>
      <c r="AO276" s="2"/>
      <c r="AP276" s="2"/>
      <c r="AQ276" s="2" t="s">
        <v>231</v>
      </c>
    </row>
    <row r="277" spans="1:43" ht="56">
      <c r="A277" s="2" t="s">
        <v>23</v>
      </c>
      <c r="B277" s="2" t="s">
        <v>1548</v>
      </c>
      <c r="C277" s="2" t="s">
        <v>680</v>
      </c>
      <c r="D277" s="2"/>
      <c r="E277" s="2" t="s">
        <v>233</v>
      </c>
      <c r="F277" s="2" t="s">
        <v>562</v>
      </c>
      <c r="G277" s="2" t="s">
        <v>1549</v>
      </c>
      <c r="H277" s="2">
        <v>1</v>
      </c>
      <c r="I277" s="2" t="s">
        <v>1550</v>
      </c>
      <c r="J277" s="2" t="s">
        <v>1550</v>
      </c>
      <c r="K277" s="2"/>
      <c r="L277" s="2"/>
      <c r="M277" s="2"/>
      <c r="N277" s="2"/>
      <c r="O277" s="3" t="b">
        <v>1</v>
      </c>
      <c r="P277" s="2"/>
      <c r="Q277" s="2"/>
      <c r="R277" s="2"/>
      <c r="S277" s="2" t="s">
        <v>1331</v>
      </c>
      <c r="T277" s="2"/>
      <c r="U277" s="2"/>
      <c r="V277" s="2" t="s">
        <v>8</v>
      </c>
      <c r="W277" s="2"/>
      <c r="X277" s="2"/>
      <c r="Y277" s="2"/>
      <c r="Z277" s="2" t="s">
        <v>8</v>
      </c>
      <c r="AA277" s="2"/>
      <c r="AB277" s="2" t="s">
        <v>8</v>
      </c>
      <c r="AC277" s="2" t="s">
        <v>8</v>
      </c>
      <c r="AD277" s="2" t="s">
        <v>8</v>
      </c>
      <c r="AE277" s="2"/>
      <c r="AF277" s="2"/>
      <c r="AG277" s="2" t="s">
        <v>8</v>
      </c>
      <c r="AH277" s="3" t="b">
        <v>0</v>
      </c>
      <c r="AI277" s="2"/>
      <c r="AJ277" s="2"/>
      <c r="AK277" s="2"/>
      <c r="AL277" s="2"/>
      <c r="AM277" s="2"/>
      <c r="AN277" s="2" t="s">
        <v>1551</v>
      </c>
      <c r="AO277" s="2"/>
      <c r="AP277" s="2"/>
      <c r="AQ277" s="2" t="s">
        <v>231</v>
      </c>
    </row>
    <row r="278" spans="1:43" ht="56">
      <c r="A278" s="2" t="s">
        <v>23</v>
      </c>
      <c r="B278" s="2" t="s">
        <v>1552</v>
      </c>
      <c r="C278" s="2" t="s">
        <v>680</v>
      </c>
      <c r="D278" s="2"/>
      <c r="E278" s="2" t="s">
        <v>193</v>
      </c>
      <c r="F278" s="2" t="s">
        <v>562</v>
      </c>
      <c r="G278" s="2" t="s">
        <v>1553</v>
      </c>
      <c r="H278" s="2">
        <v>4</v>
      </c>
      <c r="I278" s="2" t="s">
        <v>1554</v>
      </c>
      <c r="J278" s="2" t="s">
        <v>1554</v>
      </c>
      <c r="K278" s="2">
        <v>4</v>
      </c>
      <c r="L278" s="2">
        <v>4</v>
      </c>
      <c r="M278" s="3" t="b">
        <v>1</v>
      </c>
      <c r="N278" s="3" t="b">
        <v>1</v>
      </c>
      <c r="O278" s="3" t="b">
        <v>1</v>
      </c>
      <c r="P278" s="2">
        <v>0</v>
      </c>
      <c r="Q278" s="2">
        <v>0</v>
      </c>
      <c r="R278" s="2">
        <v>0</v>
      </c>
      <c r="S278" s="2" t="s">
        <v>1331</v>
      </c>
      <c r="T278" s="2"/>
      <c r="U278" s="2"/>
      <c r="V278" s="2" t="s">
        <v>8</v>
      </c>
      <c r="W278" s="2"/>
      <c r="X278" s="2"/>
      <c r="Y278" s="2"/>
      <c r="Z278" s="2" t="s">
        <v>8</v>
      </c>
      <c r="AA278" s="2"/>
      <c r="AB278" s="2" t="s">
        <v>8</v>
      </c>
      <c r="AC278" s="2" t="s">
        <v>8</v>
      </c>
      <c r="AD278" s="2" t="s">
        <v>8</v>
      </c>
      <c r="AE278" s="2"/>
      <c r="AF278" s="2"/>
      <c r="AG278" s="2" t="s">
        <v>8</v>
      </c>
      <c r="AH278" s="3" t="b">
        <v>0</v>
      </c>
      <c r="AI278" s="2"/>
      <c r="AJ278" s="2"/>
      <c r="AK278" s="2"/>
      <c r="AL278" s="2"/>
      <c r="AM278" s="2"/>
      <c r="AN278" s="2" t="s">
        <v>1351</v>
      </c>
      <c r="AO278" s="2"/>
      <c r="AP278" s="2"/>
      <c r="AQ278" s="2" t="s">
        <v>231</v>
      </c>
    </row>
    <row r="279" spans="1:43" ht="56">
      <c r="A279" s="2" t="s">
        <v>23</v>
      </c>
      <c r="B279" s="2" t="s">
        <v>1555</v>
      </c>
      <c r="C279" s="2" t="s">
        <v>680</v>
      </c>
      <c r="D279" s="2"/>
      <c r="E279" s="2" t="s">
        <v>193</v>
      </c>
      <c r="F279" s="2" t="s">
        <v>572</v>
      </c>
      <c r="G279" s="2" t="s">
        <v>1556</v>
      </c>
      <c r="H279" s="2">
        <v>25</v>
      </c>
      <c r="I279" s="2" t="s">
        <v>1557</v>
      </c>
      <c r="J279" s="2" t="s">
        <v>1557</v>
      </c>
      <c r="K279" s="2">
        <v>25</v>
      </c>
      <c r="L279" s="2">
        <v>25</v>
      </c>
      <c r="M279" s="3" t="b">
        <v>1</v>
      </c>
      <c r="N279" s="3" t="b">
        <v>1</v>
      </c>
      <c r="O279" s="3" t="b">
        <v>1</v>
      </c>
      <c r="P279" s="2">
        <v>0</v>
      </c>
      <c r="Q279" s="2">
        <v>0</v>
      </c>
      <c r="R279" s="2">
        <v>0</v>
      </c>
      <c r="S279" s="2" t="s">
        <v>1331</v>
      </c>
      <c r="T279" s="2"/>
      <c r="U279" s="2"/>
      <c r="V279" s="2" t="s">
        <v>8</v>
      </c>
      <c r="W279" s="2"/>
      <c r="X279" s="2"/>
      <c r="Y279" s="2"/>
      <c r="Z279" s="2" t="s">
        <v>8</v>
      </c>
      <c r="AA279" s="2"/>
      <c r="AB279" s="2" t="s">
        <v>8</v>
      </c>
      <c r="AC279" s="2" t="s">
        <v>8</v>
      </c>
      <c r="AD279" s="2" t="s">
        <v>8</v>
      </c>
      <c r="AE279" s="2"/>
      <c r="AF279" s="2"/>
      <c r="AG279" s="2" t="s">
        <v>8</v>
      </c>
      <c r="AH279" s="3" t="b">
        <v>0</v>
      </c>
      <c r="AI279" s="2"/>
      <c r="AJ279" s="2"/>
      <c r="AK279" s="2"/>
      <c r="AL279" s="2"/>
      <c r="AM279" s="2"/>
      <c r="AN279" s="2" t="s">
        <v>1558</v>
      </c>
      <c r="AO279" s="2"/>
      <c r="AP279" s="2"/>
      <c r="AQ279" s="2" t="s">
        <v>231</v>
      </c>
    </row>
    <row r="280" spans="1:43" ht="56">
      <c r="A280" s="2" t="s">
        <v>23</v>
      </c>
      <c r="B280" s="2" t="s">
        <v>1559</v>
      </c>
      <c r="C280" s="2" t="s">
        <v>680</v>
      </c>
      <c r="D280" s="2"/>
      <c r="E280" s="2" t="s">
        <v>200</v>
      </c>
      <c r="F280" s="2" t="s">
        <v>562</v>
      </c>
      <c r="G280" s="2" t="s">
        <v>1560</v>
      </c>
      <c r="H280" s="2">
        <v>4</v>
      </c>
      <c r="I280" s="2" t="s">
        <v>1561</v>
      </c>
      <c r="J280" s="2" t="s">
        <v>1561</v>
      </c>
      <c r="K280" s="2">
        <v>4</v>
      </c>
      <c r="L280" s="2">
        <v>4</v>
      </c>
      <c r="M280" s="3" t="b">
        <v>1</v>
      </c>
      <c r="N280" s="3" t="b">
        <v>1</v>
      </c>
      <c r="O280" s="3" t="b">
        <v>1</v>
      </c>
      <c r="P280" s="2">
        <v>0</v>
      </c>
      <c r="Q280" s="2">
        <v>0</v>
      </c>
      <c r="R280" s="2">
        <v>0</v>
      </c>
      <c r="S280" s="2" t="s">
        <v>1331</v>
      </c>
      <c r="T280" s="2"/>
      <c r="U280" s="2"/>
      <c r="V280" s="2" t="s">
        <v>8</v>
      </c>
      <c r="W280" s="2"/>
      <c r="X280" s="2"/>
      <c r="Y280" s="2"/>
      <c r="Z280" s="2" t="s">
        <v>8</v>
      </c>
      <c r="AA280" s="2"/>
      <c r="AB280" s="2" t="s">
        <v>8</v>
      </c>
      <c r="AC280" s="2" t="s">
        <v>8</v>
      </c>
      <c r="AD280" s="2" t="s">
        <v>8</v>
      </c>
      <c r="AE280" s="2"/>
      <c r="AF280" s="2"/>
      <c r="AG280" s="2" t="s">
        <v>8</v>
      </c>
      <c r="AH280" s="3" t="b">
        <v>0</v>
      </c>
      <c r="AI280" s="2"/>
      <c r="AJ280" s="2"/>
      <c r="AK280" s="2"/>
      <c r="AL280" s="2"/>
      <c r="AM280" s="2"/>
      <c r="AN280" s="2" t="s">
        <v>1351</v>
      </c>
      <c r="AO280" s="2"/>
      <c r="AP280" s="2"/>
      <c r="AQ280" s="2" t="s">
        <v>231</v>
      </c>
    </row>
    <row r="281" spans="1:43" ht="168">
      <c r="A281" s="2" t="s">
        <v>25</v>
      </c>
      <c r="B281" s="2" t="s">
        <v>1562</v>
      </c>
      <c r="C281" s="2" t="s">
        <v>545</v>
      </c>
      <c r="D281" s="2"/>
      <c r="E281" s="2" t="s">
        <v>185</v>
      </c>
      <c r="F281" s="2" t="s">
        <v>546</v>
      </c>
      <c r="G281" s="2" t="s">
        <v>1563</v>
      </c>
      <c r="H281" s="2">
        <v>1</v>
      </c>
      <c r="I281" s="2" t="s">
        <v>1564</v>
      </c>
      <c r="J281" s="2" t="s">
        <v>1565</v>
      </c>
      <c r="K281" s="2">
        <v>1</v>
      </c>
      <c r="L281" s="2">
        <v>1</v>
      </c>
      <c r="M281" s="3" t="b">
        <v>1</v>
      </c>
      <c r="N281" s="3" t="b">
        <v>1</v>
      </c>
      <c r="O281" s="3" t="b">
        <v>1</v>
      </c>
      <c r="P281" s="2">
        <v>0</v>
      </c>
      <c r="Q281" s="2">
        <v>0</v>
      </c>
      <c r="R281" s="2">
        <v>0</v>
      </c>
      <c r="S281" s="2" t="s">
        <v>826</v>
      </c>
      <c r="T281" s="2"/>
      <c r="U281" s="2"/>
      <c r="V281" s="2" t="s">
        <v>8</v>
      </c>
      <c r="W281" s="2"/>
      <c r="X281" s="2"/>
      <c r="Y281" s="2"/>
      <c r="Z281" s="2" t="s">
        <v>8</v>
      </c>
      <c r="AA281" s="2"/>
      <c r="AB281" s="2" t="s">
        <v>8</v>
      </c>
      <c r="AC281" s="2" t="s">
        <v>8</v>
      </c>
      <c r="AD281" s="2" t="s">
        <v>8</v>
      </c>
      <c r="AE281" s="2"/>
      <c r="AF281" s="2"/>
      <c r="AG281" s="2" t="s">
        <v>8</v>
      </c>
      <c r="AH281" s="3" t="b">
        <v>0</v>
      </c>
      <c r="AI281" s="2"/>
      <c r="AJ281" s="2"/>
      <c r="AK281" s="2"/>
      <c r="AL281" s="2"/>
      <c r="AM281" s="2"/>
      <c r="AN281" s="2" t="s">
        <v>1566</v>
      </c>
      <c r="AO281" s="2"/>
      <c r="AP281" s="2"/>
      <c r="AQ281" s="2" t="s">
        <v>251</v>
      </c>
    </row>
    <row r="282" spans="1:43" ht="154">
      <c r="A282" s="2" t="s">
        <v>25</v>
      </c>
      <c r="B282" s="2" t="s">
        <v>1567</v>
      </c>
      <c r="C282" s="2" t="s">
        <v>545</v>
      </c>
      <c r="D282" s="2"/>
      <c r="E282" s="2" t="s">
        <v>200</v>
      </c>
      <c r="F282" s="2" t="s">
        <v>562</v>
      </c>
      <c r="G282" s="2" t="s">
        <v>1568</v>
      </c>
      <c r="H282" s="2">
        <v>4</v>
      </c>
      <c r="I282" s="2" t="s">
        <v>1569</v>
      </c>
      <c r="J282" s="2" t="s">
        <v>1570</v>
      </c>
      <c r="K282" s="2">
        <v>4</v>
      </c>
      <c r="L282" s="2">
        <v>4</v>
      </c>
      <c r="M282" s="3" t="b">
        <v>1</v>
      </c>
      <c r="N282" s="3" t="b">
        <v>1</v>
      </c>
      <c r="O282" s="3" t="b">
        <v>1</v>
      </c>
      <c r="P282" s="2">
        <v>0</v>
      </c>
      <c r="Q282" s="2">
        <v>0</v>
      </c>
      <c r="R282" s="2">
        <v>0</v>
      </c>
      <c r="S282" s="2" t="s">
        <v>826</v>
      </c>
      <c r="T282" s="2"/>
      <c r="U282" s="2"/>
      <c r="V282" s="2" t="s">
        <v>8</v>
      </c>
      <c r="W282" s="2"/>
      <c r="X282" s="2"/>
      <c r="Y282" s="2"/>
      <c r="Z282" s="2" t="s">
        <v>8</v>
      </c>
      <c r="AA282" s="2"/>
      <c r="AB282" s="2" t="s">
        <v>8</v>
      </c>
      <c r="AC282" s="2" t="s">
        <v>8</v>
      </c>
      <c r="AD282" s="2" t="s">
        <v>8</v>
      </c>
      <c r="AE282" s="2"/>
      <c r="AF282" s="2"/>
      <c r="AG282" s="2" t="s">
        <v>8</v>
      </c>
      <c r="AH282" s="3" t="b">
        <v>0</v>
      </c>
      <c r="AI282" s="2"/>
      <c r="AJ282" s="2"/>
      <c r="AK282" s="2"/>
      <c r="AL282" s="2"/>
      <c r="AM282" s="2"/>
      <c r="AN282" s="2" t="s">
        <v>1571</v>
      </c>
      <c r="AO282" s="2"/>
      <c r="AP282" s="2"/>
      <c r="AQ282" s="2" t="s">
        <v>251</v>
      </c>
    </row>
    <row r="283" spans="1:43" ht="182">
      <c r="A283" s="2" t="s">
        <v>25</v>
      </c>
      <c r="B283" s="2" t="s">
        <v>463</v>
      </c>
      <c r="C283" s="2" t="s">
        <v>545</v>
      </c>
      <c r="D283" s="2"/>
      <c r="E283" s="2" t="s">
        <v>185</v>
      </c>
      <c r="F283" s="2" t="s">
        <v>546</v>
      </c>
      <c r="G283" s="2" t="s">
        <v>1572</v>
      </c>
      <c r="H283" s="2">
        <v>10</v>
      </c>
      <c r="I283" s="2" t="s">
        <v>466</v>
      </c>
      <c r="J283" s="2" t="s">
        <v>1573</v>
      </c>
      <c r="K283" s="2">
        <v>10</v>
      </c>
      <c r="L283" s="2">
        <v>10</v>
      </c>
      <c r="M283" s="3" t="b">
        <v>1</v>
      </c>
      <c r="N283" s="3" t="b">
        <v>1</v>
      </c>
      <c r="O283" s="3" t="b">
        <v>1</v>
      </c>
      <c r="P283" s="2">
        <v>0</v>
      </c>
      <c r="Q283" s="2">
        <v>0</v>
      </c>
      <c r="R283" s="2">
        <v>0</v>
      </c>
      <c r="S283" s="2" t="s">
        <v>826</v>
      </c>
      <c r="T283" s="2"/>
      <c r="U283" s="2"/>
      <c r="V283" s="2" t="s">
        <v>8</v>
      </c>
      <c r="W283" s="2"/>
      <c r="X283" s="2"/>
      <c r="Y283" s="2"/>
      <c r="Z283" s="2" t="s">
        <v>8</v>
      </c>
      <c r="AA283" s="2"/>
      <c r="AB283" s="2" t="s">
        <v>8</v>
      </c>
      <c r="AC283" s="2" t="s">
        <v>8</v>
      </c>
      <c r="AD283" s="2" t="s">
        <v>8</v>
      </c>
      <c r="AE283" s="2"/>
      <c r="AF283" s="2"/>
      <c r="AG283" s="2" t="s">
        <v>8</v>
      </c>
      <c r="AH283" s="3" t="b">
        <v>0</v>
      </c>
      <c r="AI283" s="2"/>
      <c r="AJ283" s="2"/>
      <c r="AK283" s="2"/>
      <c r="AL283" s="2"/>
      <c r="AM283" s="2"/>
      <c r="AN283" s="2" t="s">
        <v>1574</v>
      </c>
      <c r="AO283" s="2"/>
      <c r="AP283" s="2"/>
      <c r="AQ283" s="2" t="s">
        <v>251</v>
      </c>
    </row>
    <row r="284" spans="1:43" ht="154">
      <c r="A284" s="2" t="s">
        <v>25</v>
      </c>
      <c r="B284" s="2" t="s">
        <v>1575</v>
      </c>
      <c r="C284" s="2" t="s">
        <v>545</v>
      </c>
      <c r="D284" s="2"/>
      <c r="E284" s="2" t="s">
        <v>185</v>
      </c>
      <c r="F284" s="2" t="s">
        <v>546</v>
      </c>
      <c r="G284" s="2" t="s">
        <v>1576</v>
      </c>
      <c r="H284" s="2">
        <v>1</v>
      </c>
      <c r="I284" s="2" t="s">
        <v>1577</v>
      </c>
      <c r="J284" s="2" t="s">
        <v>1578</v>
      </c>
      <c r="K284" s="2">
        <v>1</v>
      </c>
      <c r="L284" s="2">
        <v>1</v>
      </c>
      <c r="M284" s="3" t="b">
        <v>1</v>
      </c>
      <c r="N284" s="3" t="b">
        <v>1</v>
      </c>
      <c r="O284" s="3" t="b">
        <v>1</v>
      </c>
      <c r="P284" s="2">
        <v>0</v>
      </c>
      <c r="Q284" s="2">
        <v>0</v>
      </c>
      <c r="R284" s="2">
        <v>0</v>
      </c>
      <c r="S284" s="2" t="s">
        <v>826</v>
      </c>
      <c r="T284" s="2"/>
      <c r="U284" s="2"/>
      <c r="V284" s="2" t="s">
        <v>8</v>
      </c>
      <c r="W284" s="2"/>
      <c r="X284" s="2"/>
      <c r="Y284" s="2"/>
      <c r="Z284" s="2" t="s">
        <v>8</v>
      </c>
      <c r="AA284" s="2"/>
      <c r="AB284" s="2" t="s">
        <v>8</v>
      </c>
      <c r="AC284" s="2" t="s">
        <v>8</v>
      </c>
      <c r="AD284" s="2" t="s">
        <v>8</v>
      </c>
      <c r="AE284" s="2"/>
      <c r="AF284" s="2"/>
      <c r="AG284" s="2" t="s">
        <v>8</v>
      </c>
      <c r="AH284" s="3" t="b">
        <v>0</v>
      </c>
      <c r="AI284" s="2"/>
      <c r="AJ284" s="2"/>
      <c r="AK284" s="2"/>
      <c r="AL284" s="2"/>
      <c r="AM284" s="2"/>
      <c r="AN284" s="2" t="s">
        <v>1579</v>
      </c>
      <c r="AO284" s="2"/>
      <c r="AP284" s="2"/>
      <c r="AQ284" s="2" t="s">
        <v>251</v>
      </c>
    </row>
    <row r="285" spans="1:43" ht="140">
      <c r="A285" s="2" t="s">
        <v>25</v>
      </c>
      <c r="B285" s="2" t="s">
        <v>431</v>
      </c>
      <c r="C285" s="2" t="s">
        <v>545</v>
      </c>
      <c r="D285" s="2"/>
      <c r="E285" s="2" t="s">
        <v>193</v>
      </c>
      <c r="F285" s="2" t="s">
        <v>572</v>
      </c>
      <c r="G285" s="2" t="s">
        <v>1580</v>
      </c>
      <c r="H285" s="2">
        <v>3</v>
      </c>
      <c r="I285" s="2" t="s">
        <v>434</v>
      </c>
      <c r="J285" s="2" t="s">
        <v>1581</v>
      </c>
      <c r="K285" s="2">
        <v>3</v>
      </c>
      <c r="L285" s="2">
        <v>3</v>
      </c>
      <c r="M285" s="3" t="b">
        <v>1</v>
      </c>
      <c r="N285" s="3" t="b">
        <v>1</v>
      </c>
      <c r="O285" s="3" t="b">
        <v>1</v>
      </c>
      <c r="P285" s="2">
        <v>0</v>
      </c>
      <c r="Q285" s="2">
        <v>0</v>
      </c>
      <c r="R285" s="2">
        <v>0</v>
      </c>
      <c r="S285" s="2" t="s">
        <v>826</v>
      </c>
      <c r="T285" s="2"/>
      <c r="U285" s="2"/>
      <c r="V285" s="2" t="s">
        <v>8</v>
      </c>
      <c r="W285" s="2"/>
      <c r="X285" s="2"/>
      <c r="Y285" s="2"/>
      <c r="Z285" s="2" t="s">
        <v>581</v>
      </c>
      <c r="AA285" s="2"/>
      <c r="AB285" s="2" t="s">
        <v>581</v>
      </c>
      <c r="AC285" s="2" t="s">
        <v>8</v>
      </c>
      <c r="AD285" s="2" t="s">
        <v>8</v>
      </c>
      <c r="AE285" s="2"/>
      <c r="AF285" s="2"/>
      <c r="AG285" s="2" t="s">
        <v>8</v>
      </c>
      <c r="AH285" s="3" t="b">
        <v>0</v>
      </c>
      <c r="AI285" s="2"/>
      <c r="AJ285" s="2"/>
      <c r="AK285" s="2"/>
      <c r="AL285" s="2"/>
      <c r="AM285" s="2"/>
      <c r="AN285" s="2" t="s">
        <v>1582</v>
      </c>
      <c r="AO285" s="2"/>
      <c r="AP285" s="2"/>
      <c r="AQ285" s="2" t="s">
        <v>251</v>
      </c>
    </row>
    <row r="286" spans="1:43" ht="140">
      <c r="A286" s="2" t="s">
        <v>25</v>
      </c>
      <c r="B286" s="2" t="s">
        <v>435</v>
      </c>
      <c r="C286" s="2" t="s">
        <v>545</v>
      </c>
      <c r="D286" s="2"/>
      <c r="E286" s="2" t="s">
        <v>193</v>
      </c>
      <c r="F286" s="2" t="s">
        <v>562</v>
      </c>
      <c r="G286" s="2" t="s">
        <v>1583</v>
      </c>
      <c r="H286" s="2"/>
      <c r="I286" s="2" t="s">
        <v>438</v>
      </c>
      <c r="J286" s="2" t="s">
        <v>1584</v>
      </c>
      <c r="K286" s="2"/>
      <c r="L286" s="2">
        <v>0</v>
      </c>
      <c r="M286" s="3" t="b">
        <v>1</v>
      </c>
      <c r="N286" s="3" t="b">
        <v>1</v>
      </c>
      <c r="O286" s="3" t="b">
        <v>1</v>
      </c>
      <c r="P286" s="2">
        <v>0</v>
      </c>
      <c r="Q286" s="2">
        <v>0</v>
      </c>
      <c r="R286" s="2">
        <v>0</v>
      </c>
      <c r="S286" s="2" t="s">
        <v>826</v>
      </c>
      <c r="T286" s="2"/>
      <c r="U286" s="2"/>
      <c r="V286" s="2" t="s">
        <v>8</v>
      </c>
      <c r="W286" s="2"/>
      <c r="X286" s="2"/>
      <c r="Y286" s="2"/>
      <c r="Z286" s="2" t="s">
        <v>581</v>
      </c>
      <c r="AA286" s="2"/>
      <c r="AB286" s="2" t="s">
        <v>8</v>
      </c>
      <c r="AC286" s="2" t="s">
        <v>8</v>
      </c>
      <c r="AD286" s="2" t="s">
        <v>581</v>
      </c>
      <c r="AE286" s="2"/>
      <c r="AF286" s="2"/>
      <c r="AG286" s="2" t="s">
        <v>8</v>
      </c>
      <c r="AH286" s="3" t="b">
        <v>0</v>
      </c>
      <c r="AI286" s="2"/>
      <c r="AJ286" s="2"/>
      <c r="AK286" s="2"/>
      <c r="AL286" s="2"/>
      <c r="AM286" s="2"/>
      <c r="AN286" s="2" t="s">
        <v>1585</v>
      </c>
      <c r="AO286" s="2"/>
      <c r="AP286" s="2"/>
      <c r="AQ286" s="2" t="s">
        <v>251</v>
      </c>
    </row>
    <row r="287" spans="1:43" ht="238">
      <c r="A287" s="2" t="s">
        <v>25</v>
      </c>
      <c r="B287" s="2" t="s">
        <v>1586</v>
      </c>
      <c r="C287" s="2" t="s">
        <v>545</v>
      </c>
      <c r="D287" s="2"/>
      <c r="E287" s="2" t="s">
        <v>233</v>
      </c>
      <c r="F287" s="2" t="s">
        <v>562</v>
      </c>
      <c r="G287" s="2" t="s">
        <v>1587</v>
      </c>
      <c r="H287" s="2" t="s">
        <v>900</v>
      </c>
      <c r="I287" s="2" t="s">
        <v>1588</v>
      </c>
      <c r="J287" s="2" t="s">
        <v>1589</v>
      </c>
      <c r="K287" s="2" t="s">
        <v>900</v>
      </c>
      <c r="L287" s="2" t="s">
        <v>900</v>
      </c>
      <c r="M287" s="2" t="s">
        <v>900</v>
      </c>
      <c r="N287" s="2" t="s">
        <v>900</v>
      </c>
      <c r="O287" s="3" t="b">
        <v>1</v>
      </c>
      <c r="P287" s="2" t="s">
        <v>900</v>
      </c>
      <c r="Q287" s="2" t="s">
        <v>900</v>
      </c>
      <c r="R287" s="2" t="s">
        <v>900</v>
      </c>
      <c r="S287" s="2" t="s">
        <v>900</v>
      </c>
      <c r="T287" s="2" t="s">
        <v>900</v>
      </c>
      <c r="U287" s="2"/>
      <c r="V287" s="2" t="s">
        <v>8</v>
      </c>
      <c r="W287" s="2"/>
      <c r="X287" s="2"/>
      <c r="Y287" s="2"/>
      <c r="Z287" s="2" t="s">
        <v>8</v>
      </c>
      <c r="AA287" s="2"/>
      <c r="AB287" s="2" t="s">
        <v>8</v>
      </c>
      <c r="AC287" s="2" t="s">
        <v>8</v>
      </c>
      <c r="AD287" s="2" t="s">
        <v>8</v>
      </c>
      <c r="AE287" s="2"/>
      <c r="AF287" s="2"/>
      <c r="AG287" s="2" t="s">
        <v>8</v>
      </c>
      <c r="AH287" s="3" t="b">
        <v>0</v>
      </c>
      <c r="AI287" s="2"/>
      <c r="AJ287" s="2"/>
      <c r="AK287" s="2"/>
      <c r="AL287" s="2"/>
      <c r="AM287" s="2"/>
      <c r="AN287" s="2" t="s">
        <v>1590</v>
      </c>
      <c r="AO287" s="2"/>
      <c r="AP287" s="2"/>
      <c r="AQ287" s="2" t="s">
        <v>251</v>
      </c>
    </row>
    <row r="288" spans="1:43" ht="98">
      <c r="A288" s="2" t="s">
        <v>25</v>
      </c>
      <c r="B288" s="2" t="s">
        <v>1591</v>
      </c>
      <c r="C288" s="2" t="s">
        <v>545</v>
      </c>
      <c r="D288" s="2"/>
      <c r="E288" s="2" t="s">
        <v>193</v>
      </c>
      <c r="F288" s="2" t="s">
        <v>572</v>
      </c>
      <c r="G288" s="2" t="s">
        <v>1592</v>
      </c>
      <c r="H288" s="2">
        <v>4</v>
      </c>
      <c r="I288" s="2" t="s">
        <v>1593</v>
      </c>
      <c r="J288" s="2" t="s">
        <v>1594</v>
      </c>
      <c r="K288" s="2">
        <v>4</v>
      </c>
      <c r="L288" s="2">
        <v>4</v>
      </c>
      <c r="M288" s="3" t="b">
        <v>1</v>
      </c>
      <c r="N288" s="3" t="b">
        <v>1</v>
      </c>
      <c r="O288" s="3" t="b">
        <v>1</v>
      </c>
      <c r="P288" s="2">
        <v>0</v>
      </c>
      <c r="Q288" s="2">
        <v>0</v>
      </c>
      <c r="R288" s="2">
        <v>0</v>
      </c>
      <c r="S288" s="2" t="s">
        <v>826</v>
      </c>
      <c r="T288" s="2"/>
      <c r="U288" s="2"/>
      <c r="V288" s="2" t="s">
        <v>8</v>
      </c>
      <c r="W288" s="2"/>
      <c r="X288" s="2"/>
      <c r="Y288" s="2"/>
      <c r="Z288" s="2" t="s">
        <v>8</v>
      </c>
      <c r="AA288" s="2"/>
      <c r="AB288" s="2" t="s">
        <v>8</v>
      </c>
      <c r="AC288" s="2" t="s">
        <v>8</v>
      </c>
      <c r="AD288" s="2" t="s">
        <v>8</v>
      </c>
      <c r="AE288" s="2"/>
      <c r="AF288" s="2"/>
      <c r="AG288" s="2" t="s">
        <v>8</v>
      </c>
      <c r="AH288" s="3" t="b">
        <v>0</v>
      </c>
      <c r="AI288" s="2"/>
      <c r="AJ288" s="2"/>
      <c r="AK288" s="2"/>
      <c r="AL288" s="2"/>
      <c r="AM288" s="2"/>
      <c r="AN288" s="2" t="s">
        <v>1595</v>
      </c>
      <c r="AO288" s="2"/>
      <c r="AP288" s="2"/>
      <c r="AQ288" s="2" t="s">
        <v>251</v>
      </c>
    </row>
    <row r="289" spans="1:43" ht="140">
      <c r="A289" s="2" t="s">
        <v>25</v>
      </c>
      <c r="B289" s="2" t="s">
        <v>1596</v>
      </c>
      <c r="C289" s="2" t="s">
        <v>545</v>
      </c>
      <c r="D289" s="2"/>
      <c r="E289" s="2" t="s">
        <v>193</v>
      </c>
      <c r="F289" s="2" t="s">
        <v>562</v>
      </c>
      <c r="G289" s="2" t="s">
        <v>1597</v>
      </c>
      <c r="H289" s="2">
        <v>3</v>
      </c>
      <c r="I289" s="2" t="s">
        <v>1598</v>
      </c>
      <c r="J289" s="2" t="s">
        <v>1599</v>
      </c>
      <c r="K289" s="2">
        <v>3</v>
      </c>
      <c r="L289" s="2">
        <v>3</v>
      </c>
      <c r="M289" s="3" t="b">
        <v>1</v>
      </c>
      <c r="N289" s="3" t="b">
        <v>1</v>
      </c>
      <c r="O289" s="3" t="b">
        <v>1</v>
      </c>
      <c r="P289" s="2">
        <v>0</v>
      </c>
      <c r="Q289" s="2">
        <v>0</v>
      </c>
      <c r="R289" s="2">
        <v>0</v>
      </c>
      <c r="S289" s="2" t="s">
        <v>826</v>
      </c>
      <c r="T289" s="2"/>
      <c r="U289" s="2"/>
      <c r="V289" s="2" t="s">
        <v>8</v>
      </c>
      <c r="W289" s="2"/>
      <c r="X289" s="2"/>
      <c r="Y289" s="2"/>
      <c r="Z289" s="2" t="s">
        <v>8</v>
      </c>
      <c r="AA289" s="2"/>
      <c r="AB289" s="2" t="s">
        <v>8</v>
      </c>
      <c r="AC289" s="2" t="s">
        <v>8</v>
      </c>
      <c r="AD289" s="2" t="s">
        <v>8</v>
      </c>
      <c r="AE289" s="2"/>
      <c r="AF289" s="2"/>
      <c r="AG289" s="2" t="s">
        <v>8</v>
      </c>
      <c r="AH289" s="3" t="b">
        <v>0</v>
      </c>
      <c r="AI289" s="2"/>
      <c r="AJ289" s="2"/>
      <c r="AK289" s="2"/>
      <c r="AL289" s="2"/>
      <c r="AM289" s="2"/>
      <c r="AN289" s="2" t="s">
        <v>1600</v>
      </c>
      <c r="AO289" s="2"/>
      <c r="AP289" s="2"/>
      <c r="AQ289" s="2" t="s">
        <v>251</v>
      </c>
    </row>
    <row r="290" spans="1:43" ht="210">
      <c r="A290" s="2" t="s">
        <v>25</v>
      </c>
      <c r="B290" s="2" t="s">
        <v>258</v>
      </c>
      <c r="C290" s="2" t="s">
        <v>545</v>
      </c>
      <c r="D290" s="2"/>
      <c r="E290" s="2" t="s">
        <v>185</v>
      </c>
      <c r="F290" s="2" t="s">
        <v>546</v>
      </c>
      <c r="G290" s="2" t="s">
        <v>260</v>
      </c>
      <c r="H290" s="2">
        <v>1</v>
      </c>
      <c r="I290" s="2" t="s">
        <v>1601</v>
      </c>
      <c r="J290" s="2" t="s">
        <v>1602</v>
      </c>
      <c r="K290" s="2">
        <v>1</v>
      </c>
      <c r="L290" s="2">
        <v>1</v>
      </c>
      <c r="M290" s="3" t="b">
        <v>1</v>
      </c>
      <c r="N290" s="3" t="b">
        <v>1</v>
      </c>
      <c r="O290" s="2"/>
      <c r="P290" s="2">
        <v>0</v>
      </c>
      <c r="Q290" s="2">
        <v>0</v>
      </c>
      <c r="R290" s="2">
        <v>0</v>
      </c>
      <c r="S290" s="2" t="s">
        <v>826</v>
      </c>
      <c r="T290" s="2"/>
      <c r="U290" s="2"/>
      <c r="V290" s="2" t="s">
        <v>1603</v>
      </c>
      <c r="W290" s="2"/>
      <c r="X290" s="2"/>
      <c r="Y290" s="2"/>
      <c r="Z290" s="2" t="s">
        <v>10</v>
      </c>
      <c r="AA290" s="2"/>
      <c r="AB290" s="2" t="s">
        <v>10</v>
      </c>
      <c r="AC290" s="2" t="s">
        <v>8</v>
      </c>
      <c r="AD290" s="2" t="s">
        <v>10</v>
      </c>
      <c r="AE290" s="2"/>
      <c r="AF290" s="2"/>
      <c r="AG290" s="2" t="s">
        <v>10</v>
      </c>
      <c r="AH290" s="3" t="b">
        <v>1</v>
      </c>
      <c r="AI290" s="2"/>
      <c r="AJ290" s="2"/>
      <c r="AK290" s="2"/>
      <c r="AL290" s="2"/>
      <c r="AM290" s="2"/>
      <c r="AN290" s="2" t="s">
        <v>1604</v>
      </c>
      <c r="AO290" s="2"/>
      <c r="AP290" s="2"/>
      <c r="AQ290" s="2" t="s">
        <v>251</v>
      </c>
    </row>
    <row r="291" spans="1:43" ht="182">
      <c r="A291" s="2" t="s">
        <v>25</v>
      </c>
      <c r="B291" s="2" t="s">
        <v>467</v>
      </c>
      <c r="C291" s="2" t="s">
        <v>545</v>
      </c>
      <c r="D291" s="2"/>
      <c r="E291" s="2" t="s">
        <v>185</v>
      </c>
      <c r="F291" s="2" t="s">
        <v>546</v>
      </c>
      <c r="G291" s="2" t="s">
        <v>1605</v>
      </c>
      <c r="H291" s="2">
        <v>10</v>
      </c>
      <c r="I291" s="2" t="s">
        <v>470</v>
      </c>
      <c r="J291" s="2" t="s">
        <v>1606</v>
      </c>
      <c r="K291" s="2">
        <v>10</v>
      </c>
      <c r="L291" s="2">
        <v>10</v>
      </c>
      <c r="M291" s="3" t="b">
        <v>1</v>
      </c>
      <c r="N291" s="3" t="b">
        <v>1</v>
      </c>
      <c r="O291" s="3" t="b">
        <v>1</v>
      </c>
      <c r="P291" s="2">
        <v>0</v>
      </c>
      <c r="Q291" s="2">
        <v>0</v>
      </c>
      <c r="R291" s="2">
        <v>0</v>
      </c>
      <c r="S291" s="2" t="s">
        <v>826</v>
      </c>
      <c r="T291" s="2"/>
      <c r="U291" s="2"/>
      <c r="V291" s="2" t="s">
        <v>8</v>
      </c>
      <c r="W291" s="2"/>
      <c r="X291" s="2"/>
      <c r="Y291" s="2"/>
      <c r="Z291" s="2" t="s">
        <v>8</v>
      </c>
      <c r="AA291" s="2"/>
      <c r="AB291" s="2" t="s">
        <v>8</v>
      </c>
      <c r="AC291" s="2" t="s">
        <v>8</v>
      </c>
      <c r="AD291" s="2" t="s">
        <v>8</v>
      </c>
      <c r="AE291" s="2"/>
      <c r="AF291" s="2"/>
      <c r="AG291" s="2" t="s">
        <v>8</v>
      </c>
      <c r="AH291" s="3" t="b">
        <v>0</v>
      </c>
      <c r="AI291" s="2"/>
      <c r="AJ291" s="2"/>
      <c r="AK291" s="2"/>
      <c r="AL291" s="2"/>
      <c r="AM291" s="2"/>
      <c r="AN291" s="2" t="s">
        <v>1607</v>
      </c>
      <c r="AO291" s="2"/>
      <c r="AP291" s="2"/>
      <c r="AQ291" s="2" t="s">
        <v>251</v>
      </c>
    </row>
    <row r="292" spans="1:43" ht="252">
      <c r="A292" s="2" t="s">
        <v>25</v>
      </c>
      <c r="B292" s="2" t="s">
        <v>264</v>
      </c>
      <c r="C292" s="2" t="s">
        <v>545</v>
      </c>
      <c r="D292" s="2"/>
      <c r="E292" s="2" t="s">
        <v>185</v>
      </c>
      <c r="F292" s="2" t="s">
        <v>546</v>
      </c>
      <c r="G292" s="2" t="s">
        <v>266</v>
      </c>
      <c r="H292" s="2">
        <v>3</v>
      </c>
      <c r="I292" s="2" t="s">
        <v>1608</v>
      </c>
      <c r="J292" s="2" t="s">
        <v>1609</v>
      </c>
      <c r="K292" s="2">
        <v>3</v>
      </c>
      <c r="L292" s="2">
        <v>3</v>
      </c>
      <c r="M292" s="3" t="b">
        <v>1</v>
      </c>
      <c r="N292" s="3" t="b">
        <v>1</v>
      </c>
      <c r="O292" s="2"/>
      <c r="P292" s="2">
        <v>0</v>
      </c>
      <c r="Q292" s="2">
        <v>0</v>
      </c>
      <c r="R292" s="2">
        <v>0</v>
      </c>
      <c r="S292" s="2" t="s">
        <v>826</v>
      </c>
      <c r="T292" s="2"/>
      <c r="U292" s="2"/>
      <c r="V292" s="2" t="s">
        <v>1603</v>
      </c>
      <c r="W292" s="2"/>
      <c r="X292" s="2"/>
      <c r="Y292" s="2"/>
      <c r="Z292" s="2" t="s">
        <v>10</v>
      </c>
      <c r="AA292" s="2"/>
      <c r="AB292" s="2" t="s">
        <v>10</v>
      </c>
      <c r="AC292" s="2" t="s">
        <v>8</v>
      </c>
      <c r="AD292" s="2" t="s">
        <v>10</v>
      </c>
      <c r="AE292" s="2"/>
      <c r="AF292" s="2"/>
      <c r="AG292" s="2" t="s">
        <v>10</v>
      </c>
      <c r="AH292" s="3" t="b">
        <v>1</v>
      </c>
      <c r="AI292" s="2"/>
      <c r="AJ292" s="2"/>
      <c r="AK292" s="2"/>
      <c r="AL292" s="2"/>
      <c r="AM292" s="2"/>
      <c r="AN292" s="2" t="s">
        <v>1610</v>
      </c>
      <c r="AO292" s="2"/>
      <c r="AP292" s="2"/>
      <c r="AQ292" s="2" t="s">
        <v>251</v>
      </c>
    </row>
    <row r="293" spans="1:43" ht="154">
      <c r="A293" s="2" t="s">
        <v>25</v>
      </c>
      <c r="B293" s="2" t="s">
        <v>1611</v>
      </c>
      <c r="C293" s="2" t="s">
        <v>545</v>
      </c>
      <c r="D293" s="2"/>
      <c r="E293" s="2" t="s">
        <v>193</v>
      </c>
      <c r="F293" s="2" t="s">
        <v>546</v>
      </c>
      <c r="G293" s="2" t="s">
        <v>1612</v>
      </c>
      <c r="H293" s="2">
        <v>1</v>
      </c>
      <c r="I293" s="2" t="s">
        <v>1613</v>
      </c>
      <c r="J293" s="2" t="s">
        <v>1614</v>
      </c>
      <c r="K293" s="2">
        <v>1</v>
      </c>
      <c r="L293" s="2">
        <v>1</v>
      </c>
      <c r="M293" s="3" t="b">
        <v>1</v>
      </c>
      <c r="N293" s="3" t="b">
        <v>1</v>
      </c>
      <c r="O293" s="3" t="b">
        <v>1</v>
      </c>
      <c r="P293" s="2">
        <v>0</v>
      </c>
      <c r="Q293" s="2">
        <v>0</v>
      </c>
      <c r="R293" s="2">
        <v>0</v>
      </c>
      <c r="S293" s="2" t="s">
        <v>826</v>
      </c>
      <c r="T293" s="2"/>
      <c r="U293" s="2"/>
      <c r="V293" s="2" t="s">
        <v>8</v>
      </c>
      <c r="W293" s="2"/>
      <c r="X293" s="2"/>
      <c r="Y293" s="2"/>
      <c r="Z293" s="2" t="s">
        <v>8</v>
      </c>
      <c r="AA293" s="2"/>
      <c r="AB293" s="2" t="s">
        <v>8</v>
      </c>
      <c r="AC293" s="2" t="s">
        <v>8</v>
      </c>
      <c r="AD293" s="2" t="s">
        <v>8</v>
      </c>
      <c r="AE293" s="2"/>
      <c r="AF293" s="2"/>
      <c r="AG293" s="2" t="s">
        <v>8</v>
      </c>
      <c r="AH293" s="3" t="b">
        <v>0</v>
      </c>
      <c r="AI293" s="2"/>
      <c r="AJ293" s="2"/>
      <c r="AK293" s="2"/>
      <c r="AL293" s="2"/>
      <c r="AM293" s="2"/>
      <c r="AN293" s="2" t="s">
        <v>1615</v>
      </c>
      <c r="AO293" s="2"/>
      <c r="AP293" s="2"/>
      <c r="AQ293" s="2" t="s">
        <v>251</v>
      </c>
    </row>
    <row r="294" spans="1:43" ht="154">
      <c r="A294" s="2" t="s">
        <v>25</v>
      </c>
      <c r="B294" s="2" t="s">
        <v>1616</v>
      </c>
      <c r="C294" s="2" t="s">
        <v>545</v>
      </c>
      <c r="D294" s="2"/>
      <c r="E294" s="2" t="s">
        <v>193</v>
      </c>
      <c r="F294" s="2" t="s">
        <v>562</v>
      </c>
      <c r="G294" s="2" t="s">
        <v>1617</v>
      </c>
      <c r="H294" s="2">
        <v>2</v>
      </c>
      <c r="I294" s="2" t="s">
        <v>1618</v>
      </c>
      <c r="J294" s="2" t="s">
        <v>1619</v>
      </c>
      <c r="K294" s="2">
        <v>2</v>
      </c>
      <c r="L294" s="2">
        <v>2</v>
      </c>
      <c r="M294" s="3" t="b">
        <v>1</v>
      </c>
      <c r="N294" s="3" t="b">
        <v>1</v>
      </c>
      <c r="O294" s="3" t="b">
        <v>1</v>
      </c>
      <c r="P294" s="2">
        <v>0</v>
      </c>
      <c r="Q294" s="2">
        <v>0</v>
      </c>
      <c r="R294" s="2">
        <v>0</v>
      </c>
      <c r="S294" s="2" t="s">
        <v>826</v>
      </c>
      <c r="T294" s="2"/>
      <c r="U294" s="2"/>
      <c r="V294" s="2" t="s">
        <v>8</v>
      </c>
      <c r="W294" s="2"/>
      <c r="X294" s="2"/>
      <c r="Y294" s="2"/>
      <c r="Z294" s="2" t="s">
        <v>8</v>
      </c>
      <c r="AA294" s="2"/>
      <c r="AB294" s="2" t="s">
        <v>8</v>
      </c>
      <c r="AC294" s="2" t="s">
        <v>8</v>
      </c>
      <c r="AD294" s="2" t="s">
        <v>8</v>
      </c>
      <c r="AE294" s="2"/>
      <c r="AF294" s="2"/>
      <c r="AG294" s="2" t="s">
        <v>8</v>
      </c>
      <c r="AH294" s="3" t="b">
        <v>0</v>
      </c>
      <c r="AI294" s="2"/>
      <c r="AJ294" s="2"/>
      <c r="AK294" s="2"/>
      <c r="AL294" s="2"/>
      <c r="AM294" s="2"/>
      <c r="AN294" s="2" t="s">
        <v>1620</v>
      </c>
      <c r="AO294" s="2"/>
      <c r="AP294" s="2"/>
      <c r="AQ294" s="2" t="s">
        <v>251</v>
      </c>
    </row>
    <row r="295" spans="1:43" ht="126">
      <c r="A295" s="2" t="s">
        <v>25</v>
      </c>
      <c r="B295" s="2" t="s">
        <v>1621</v>
      </c>
      <c r="C295" s="2" t="s">
        <v>545</v>
      </c>
      <c r="D295" s="2"/>
      <c r="E295" s="2" t="s">
        <v>193</v>
      </c>
      <c r="F295" s="2" t="s">
        <v>572</v>
      </c>
      <c r="G295" s="2" t="s">
        <v>1622</v>
      </c>
      <c r="H295" s="2">
        <v>2</v>
      </c>
      <c r="I295" s="2" t="s">
        <v>1623</v>
      </c>
      <c r="J295" s="2" t="s">
        <v>1624</v>
      </c>
      <c r="K295" s="2">
        <v>2</v>
      </c>
      <c r="L295" s="2">
        <v>2</v>
      </c>
      <c r="M295" s="3" t="b">
        <v>1</v>
      </c>
      <c r="N295" s="3" t="b">
        <v>1</v>
      </c>
      <c r="O295" s="3" t="b">
        <v>1</v>
      </c>
      <c r="P295" s="2">
        <v>0</v>
      </c>
      <c r="Q295" s="2">
        <v>0</v>
      </c>
      <c r="R295" s="2">
        <v>0</v>
      </c>
      <c r="S295" s="2" t="s">
        <v>826</v>
      </c>
      <c r="T295" s="2"/>
      <c r="U295" s="2"/>
      <c r="V295" s="2" t="s">
        <v>8</v>
      </c>
      <c r="W295" s="2"/>
      <c r="X295" s="2"/>
      <c r="Y295" s="2"/>
      <c r="Z295" s="2" t="s">
        <v>8</v>
      </c>
      <c r="AA295" s="2"/>
      <c r="AB295" s="2" t="s">
        <v>8</v>
      </c>
      <c r="AC295" s="2" t="s">
        <v>8</v>
      </c>
      <c r="AD295" s="2" t="s">
        <v>8</v>
      </c>
      <c r="AE295" s="2"/>
      <c r="AF295" s="2"/>
      <c r="AG295" s="2" t="s">
        <v>8</v>
      </c>
      <c r="AH295" s="3" t="b">
        <v>0</v>
      </c>
      <c r="AI295" s="2"/>
      <c r="AJ295" s="2"/>
      <c r="AK295" s="2"/>
      <c r="AL295" s="2"/>
      <c r="AM295" s="2"/>
      <c r="AN295" s="2" t="s">
        <v>1625</v>
      </c>
      <c r="AO295" s="2"/>
      <c r="AP295" s="2"/>
      <c r="AQ295" s="2" t="s">
        <v>251</v>
      </c>
    </row>
    <row r="296" spans="1:43" ht="210">
      <c r="A296" s="2" t="s">
        <v>25</v>
      </c>
      <c r="B296" s="2" t="s">
        <v>1626</v>
      </c>
      <c r="C296" s="2" t="s">
        <v>545</v>
      </c>
      <c r="D296" s="2"/>
      <c r="E296" s="2" t="s">
        <v>233</v>
      </c>
      <c r="F296" s="2" t="s">
        <v>572</v>
      </c>
      <c r="G296" s="2" t="s">
        <v>1627</v>
      </c>
      <c r="H296" s="2" t="s">
        <v>900</v>
      </c>
      <c r="I296" s="2" t="s">
        <v>1628</v>
      </c>
      <c r="J296" s="2" t="s">
        <v>1629</v>
      </c>
      <c r="K296" s="2" t="s">
        <v>900</v>
      </c>
      <c r="L296" s="2" t="s">
        <v>900</v>
      </c>
      <c r="M296" s="2" t="s">
        <v>900</v>
      </c>
      <c r="N296" s="2" t="s">
        <v>900</v>
      </c>
      <c r="O296" s="3" t="b">
        <v>1</v>
      </c>
      <c r="P296" s="2" t="s">
        <v>900</v>
      </c>
      <c r="Q296" s="2" t="s">
        <v>900</v>
      </c>
      <c r="R296" s="2" t="s">
        <v>900</v>
      </c>
      <c r="S296" s="2" t="s">
        <v>900</v>
      </c>
      <c r="T296" s="2" t="s">
        <v>900</v>
      </c>
      <c r="U296" s="2"/>
      <c r="V296" s="2" t="s">
        <v>8</v>
      </c>
      <c r="W296" s="2"/>
      <c r="X296" s="2"/>
      <c r="Y296" s="2"/>
      <c r="Z296" s="2" t="s">
        <v>8</v>
      </c>
      <c r="AA296" s="2"/>
      <c r="AB296" s="2" t="s">
        <v>8</v>
      </c>
      <c r="AC296" s="2" t="s">
        <v>8</v>
      </c>
      <c r="AD296" s="2" t="s">
        <v>8</v>
      </c>
      <c r="AE296" s="2"/>
      <c r="AF296" s="2"/>
      <c r="AG296" s="2" t="s">
        <v>8</v>
      </c>
      <c r="AH296" s="3" t="b">
        <v>0</v>
      </c>
      <c r="AI296" s="2"/>
      <c r="AJ296" s="2"/>
      <c r="AK296" s="2"/>
      <c r="AL296" s="2"/>
      <c r="AM296" s="2"/>
      <c r="AN296" s="2" t="s">
        <v>1630</v>
      </c>
      <c r="AO296" s="2"/>
      <c r="AP296" s="2"/>
      <c r="AQ296" s="2" t="s">
        <v>251</v>
      </c>
    </row>
    <row r="297" spans="1:43" ht="112">
      <c r="A297" s="2" t="s">
        <v>25</v>
      </c>
      <c r="B297" s="2" t="s">
        <v>1631</v>
      </c>
      <c r="C297" s="2" t="s">
        <v>545</v>
      </c>
      <c r="D297" s="2"/>
      <c r="E297" s="2" t="s">
        <v>193</v>
      </c>
      <c r="F297" s="2" t="s">
        <v>562</v>
      </c>
      <c r="G297" s="2" t="s">
        <v>1632</v>
      </c>
      <c r="H297" s="2">
        <v>3</v>
      </c>
      <c r="I297" s="2" t="s">
        <v>1633</v>
      </c>
      <c r="J297" s="2" t="s">
        <v>1634</v>
      </c>
      <c r="K297" s="2">
        <v>3</v>
      </c>
      <c r="L297" s="2">
        <v>3</v>
      </c>
      <c r="M297" s="3" t="b">
        <v>1</v>
      </c>
      <c r="N297" s="3" t="b">
        <v>1</v>
      </c>
      <c r="O297" s="3" t="b">
        <v>1</v>
      </c>
      <c r="P297" s="2">
        <v>0</v>
      </c>
      <c r="Q297" s="2">
        <v>1</v>
      </c>
      <c r="R297" s="2">
        <v>0</v>
      </c>
      <c r="S297" s="2" t="s">
        <v>826</v>
      </c>
      <c r="T297" s="2"/>
      <c r="U297" s="2"/>
      <c r="V297" s="2" t="s">
        <v>8</v>
      </c>
      <c r="W297" s="2"/>
      <c r="X297" s="2"/>
      <c r="Y297" s="2"/>
      <c r="Z297" s="2" t="s">
        <v>8</v>
      </c>
      <c r="AA297" s="2"/>
      <c r="AB297" s="2" t="s">
        <v>8</v>
      </c>
      <c r="AC297" s="2" t="s">
        <v>8</v>
      </c>
      <c r="AD297" s="2" t="s">
        <v>8</v>
      </c>
      <c r="AE297" s="2"/>
      <c r="AF297" s="2"/>
      <c r="AG297" s="2" t="s">
        <v>8</v>
      </c>
      <c r="AH297" s="3" t="b">
        <v>0</v>
      </c>
      <c r="AI297" s="2"/>
      <c r="AJ297" s="2"/>
      <c r="AK297" s="2"/>
      <c r="AL297" s="2"/>
      <c r="AM297" s="2"/>
      <c r="AN297" s="2" t="s">
        <v>1635</v>
      </c>
      <c r="AO297" s="2"/>
      <c r="AP297" s="2"/>
      <c r="AQ297" s="2" t="s">
        <v>251</v>
      </c>
    </row>
    <row r="298" spans="1:43" ht="266">
      <c r="A298" s="2" t="s">
        <v>25</v>
      </c>
      <c r="B298" s="2" t="s">
        <v>495</v>
      </c>
      <c r="C298" s="2" t="s">
        <v>545</v>
      </c>
      <c r="D298" s="2"/>
      <c r="E298" s="2" t="s">
        <v>233</v>
      </c>
      <c r="F298" s="2" t="s">
        <v>546</v>
      </c>
      <c r="G298" s="2" t="s">
        <v>1636</v>
      </c>
      <c r="H298" s="2" t="s">
        <v>900</v>
      </c>
      <c r="I298" s="2" t="s">
        <v>498</v>
      </c>
      <c r="J298" s="2" t="s">
        <v>1637</v>
      </c>
      <c r="K298" s="2" t="s">
        <v>900</v>
      </c>
      <c r="L298" s="2" t="s">
        <v>900</v>
      </c>
      <c r="M298" s="2" t="s">
        <v>900</v>
      </c>
      <c r="N298" s="2" t="s">
        <v>900</v>
      </c>
      <c r="O298" s="3" t="b">
        <v>1</v>
      </c>
      <c r="P298" s="2" t="s">
        <v>900</v>
      </c>
      <c r="Q298" s="2" t="s">
        <v>900</v>
      </c>
      <c r="R298" s="2" t="s">
        <v>900</v>
      </c>
      <c r="S298" s="2" t="s">
        <v>900</v>
      </c>
      <c r="T298" s="2" t="s">
        <v>900</v>
      </c>
      <c r="U298" s="2"/>
      <c r="V298" s="2" t="s">
        <v>8</v>
      </c>
      <c r="W298" s="2"/>
      <c r="X298" s="2"/>
      <c r="Y298" s="2"/>
      <c r="Z298" s="2" t="s">
        <v>8</v>
      </c>
      <c r="AA298" s="2"/>
      <c r="AB298" s="2" t="s">
        <v>8</v>
      </c>
      <c r="AC298" s="2" t="s">
        <v>8</v>
      </c>
      <c r="AD298" s="2" t="s">
        <v>8</v>
      </c>
      <c r="AE298" s="2"/>
      <c r="AF298" s="2"/>
      <c r="AG298" s="2" t="s">
        <v>8</v>
      </c>
      <c r="AH298" s="3" t="b">
        <v>0</v>
      </c>
      <c r="AI298" s="2"/>
      <c r="AJ298" s="2"/>
      <c r="AK298" s="2"/>
      <c r="AL298" s="2"/>
      <c r="AM298" s="2"/>
      <c r="AN298" s="2" t="s">
        <v>1638</v>
      </c>
      <c r="AO298" s="2"/>
      <c r="AP298" s="2"/>
      <c r="AQ298" s="2" t="s">
        <v>251</v>
      </c>
    </row>
    <row r="299" spans="1:43" ht="224">
      <c r="A299" s="2" t="s">
        <v>25</v>
      </c>
      <c r="B299" s="2" t="s">
        <v>1639</v>
      </c>
      <c r="C299" s="2" t="s">
        <v>545</v>
      </c>
      <c r="D299" s="2"/>
      <c r="E299" s="2" t="s">
        <v>185</v>
      </c>
      <c r="F299" s="2" t="s">
        <v>546</v>
      </c>
      <c r="G299" s="2" t="s">
        <v>1640</v>
      </c>
      <c r="H299" s="2">
        <v>10</v>
      </c>
      <c r="I299" s="2" t="s">
        <v>1641</v>
      </c>
      <c r="J299" s="2" t="s">
        <v>1642</v>
      </c>
      <c r="K299" s="2">
        <v>10</v>
      </c>
      <c r="L299" s="2">
        <v>10</v>
      </c>
      <c r="M299" s="3" t="b">
        <v>1</v>
      </c>
      <c r="N299" s="3" t="b">
        <v>1</v>
      </c>
      <c r="O299" s="3" t="b">
        <v>1</v>
      </c>
      <c r="P299" s="2">
        <v>0</v>
      </c>
      <c r="Q299" s="2">
        <v>0</v>
      </c>
      <c r="R299" s="2">
        <v>0</v>
      </c>
      <c r="S299" s="2" t="s">
        <v>826</v>
      </c>
      <c r="T299" s="2"/>
      <c r="U299" s="2"/>
      <c r="V299" s="2" t="s">
        <v>8</v>
      </c>
      <c r="W299" s="2"/>
      <c r="X299" s="2"/>
      <c r="Y299" s="2"/>
      <c r="Z299" s="2" t="s">
        <v>8</v>
      </c>
      <c r="AA299" s="2"/>
      <c r="AB299" s="2" t="s">
        <v>8</v>
      </c>
      <c r="AC299" s="2" t="s">
        <v>8</v>
      </c>
      <c r="AD299" s="2" t="s">
        <v>8</v>
      </c>
      <c r="AE299" s="2"/>
      <c r="AF299" s="2"/>
      <c r="AG299" s="2" t="s">
        <v>8</v>
      </c>
      <c r="AH299" s="3" t="b">
        <v>0</v>
      </c>
      <c r="AI299" s="2"/>
      <c r="AJ299" s="2"/>
      <c r="AK299" s="2"/>
      <c r="AL299" s="2"/>
      <c r="AM299" s="2"/>
      <c r="AN299" s="2" t="s">
        <v>1643</v>
      </c>
      <c r="AO299" s="2"/>
      <c r="AP299" s="2"/>
      <c r="AQ299" s="2" t="s">
        <v>251</v>
      </c>
    </row>
    <row r="300" spans="1:43" ht="154">
      <c r="A300" s="2" t="s">
        <v>25</v>
      </c>
      <c r="B300" s="2" t="s">
        <v>1644</v>
      </c>
      <c r="C300" s="2" t="s">
        <v>545</v>
      </c>
      <c r="D300" s="2"/>
      <c r="E300" s="2" t="s">
        <v>193</v>
      </c>
      <c r="F300" s="2" t="s">
        <v>546</v>
      </c>
      <c r="G300" s="2" t="s">
        <v>1645</v>
      </c>
      <c r="H300" s="2">
        <v>86</v>
      </c>
      <c r="I300" s="2" t="s">
        <v>1646</v>
      </c>
      <c r="J300" s="2" t="s">
        <v>1647</v>
      </c>
      <c r="K300" s="2">
        <v>86</v>
      </c>
      <c r="L300" s="2">
        <v>86</v>
      </c>
      <c r="M300" s="3" t="b">
        <v>1</v>
      </c>
      <c r="N300" s="3" t="b">
        <v>1</v>
      </c>
      <c r="O300" s="3" t="b">
        <v>1</v>
      </c>
      <c r="P300" s="2">
        <v>0</v>
      </c>
      <c r="Q300" s="2">
        <v>0</v>
      </c>
      <c r="R300" s="2">
        <v>0</v>
      </c>
      <c r="S300" s="2" t="s">
        <v>826</v>
      </c>
      <c r="T300" s="2"/>
      <c r="U300" s="2"/>
      <c r="V300" s="2" t="s">
        <v>8</v>
      </c>
      <c r="W300" s="2"/>
      <c r="X300" s="2"/>
      <c r="Y300" s="2"/>
      <c r="Z300" s="2" t="s">
        <v>8</v>
      </c>
      <c r="AA300" s="2"/>
      <c r="AB300" s="2" t="s">
        <v>8</v>
      </c>
      <c r="AC300" s="2" t="s">
        <v>8</v>
      </c>
      <c r="AD300" s="2" t="s">
        <v>8</v>
      </c>
      <c r="AE300" s="2"/>
      <c r="AF300" s="2"/>
      <c r="AG300" s="2" t="s">
        <v>8</v>
      </c>
      <c r="AH300" s="3" t="b">
        <v>0</v>
      </c>
      <c r="AI300" s="2"/>
      <c r="AJ300" s="2"/>
      <c r="AK300" s="2"/>
      <c r="AL300" s="2"/>
      <c r="AM300" s="2"/>
      <c r="AN300" s="2" t="s">
        <v>1648</v>
      </c>
      <c r="AO300" s="2"/>
      <c r="AP300" s="2"/>
      <c r="AQ300" s="2" t="s">
        <v>251</v>
      </c>
    </row>
    <row r="301" spans="1:43" ht="140">
      <c r="A301" s="2" t="s">
        <v>25</v>
      </c>
      <c r="B301" s="2" t="s">
        <v>1649</v>
      </c>
      <c r="C301" s="2" t="s">
        <v>545</v>
      </c>
      <c r="D301" s="2"/>
      <c r="E301" s="2" t="s">
        <v>200</v>
      </c>
      <c r="F301" s="2" t="s">
        <v>572</v>
      </c>
      <c r="G301" s="2" t="s">
        <v>1650</v>
      </c>
      <c r="H301" s="2">
        <v>1</v>
      </c>
      <c r="I301" s="2" t="s">
        <v>1651</v>
      </c>
      <c r="J301" s="2" t="s">
        <v>1652</v>
      </c>
      <c r="K301" s="2">
        <v>1</v>
      </c>
      <c r="L301" s="2">
        <v>1</v>
      </c>
      <c r="M301" s="3" t="b">
        <v>1</v>
      </c>
      <c r="N301" s="3" t="b">
        <v>1</v>
      </c>
      <c r="O301" s="3" t="b">
        <v>1</v>
      </c>
      <c r="P301" s="2">
        <v>0</v>
      </c>
      <c r="Q301" s="2">
        <v>0</v>
      </c>
      <c r="R301" s="2">
        <v>0</v>
      </c>
      <c r="S301" s="2" t="s">
        <v>826</v>
      </c>
      <c r="T301" s="2"/>
      <c r="U301" s="2"/>
      <c r="V301" s="2" t="s">
        <v>8</v>
      </c>
      <c r="W301" s="2"/>
      <c r="X301" s="2"/>
      <c r="Y301" s="2"/>
      <c r="Z301" s="2" t="s">
        <v>8</v>
      </c>
      <c r="AA301" s="2"/>
      <c r="AB301" s="2" t="s">
        <v>8</v>
      </c>
      <c r="AC301" s="2" t="s">
        <v>8</v>
      </c>
      <c r="AD301" s="2" t="s">
        <v>8</v>
      </c>
      <c r="AE301" s="2"/>
      <c r="AF301" s="2"/>
      <c r="AG301" s="2" t="s">
        <v>8</v>
      </c>
      <c r="AH301" s="3" t="b">
        <v>0</v>
      </c>
      <c r="AI301" s="2"/>
      <c r="AJ301" s="2"/>
      <c r="AK301" s="2"/>
      <c r="AL301" s="2"/>
      <c r="AM301" s="2"/>
      <c r="AN301" s="2" t="s">
        <v>1653</v>
      </c>
      <c r="AO301" s="2"/>
      <c r="AP301" s="2"/>
      <c r="AQ301" s="2" t="s">
        <v>251</v>
      </c>
    </row>
    <row r="302" spans="1:43" ht="126">
      <c r="A302" s="2" t="s">
        <v>25</v>
      </c>
      <c r="B302" s="2" t="s">
        <v>1654</v>
      </c>
      <c r="C302" s="2" t="s">
        <v>545</v>
      </c>
      <c r="D302" s="2"/>
      <c r="E302" s="2" t="s">
        <v>193</v>
      </c>
      <c r="F302" s="2" t="s">
        <v>572</v>
      </c>
      <c r="G302" s="2" t="s">
        <v>1655</v>
      </c>
      <c r="H302" s="2">
        <v>11</v>
      </c>
      <c r="I302" s="2" t="s">
        <v>1656</v>
      </c>
      <c r="J302" s="2" t="s">
        <v>1657</v>
      </c>
      <c r="K302" s="2">
        <v>11</v>
      </c>
      <c r="L302" s="2">
        <v>11</v>
      </c>
      <c r="M302" s="3" t="b">
        <v>1</v>
      </c>
      <c r="N302" s="3" t="b">
        <v>1</v>
      </c>
      <c r="O302" s="3" t="b">
        <v>1</v>
      </c>
      <c r="P302" s="2">
        <v>0</v>
      </c>
      <c r="Q302" s="2">
        <v>0</v>
      </c>
      <c r="R302" s="2">
        <v>0</v>
      </c>
      <c r="S302" s="2" t="s">
        <v>826</v>
      </c>
      <c r="T302" s="2"/>
      <c r="U302" s="2"/>
      <c r="V302" s="2" t="s">
        <v>8</v>
      </c>
      <c r="W302" s="2"/>
      <c r="X302" s="2"/>
      <c r="Y302" s="2"/>
      <c r="Z302" s="2" t="s">
        <v>8</v>
      </c>
      <c r="AA302" s="2"/>
      <c r="AB302" s="2" t="s">
        <v>8</v>
      </c>
      <c r="AC302" s="2" t="s">
        <v>8</v>
      </c>
      <c r="AD302" s="2" t="s">
        <v>8</v>
      </c>
      <c r="AE302" s="2"/>
      <c r="AF302" s="2"/>
      <c r="AG302" s="2" t="s">
        <v>8</v>
      </c>
      <c r="AH302" s="3" t="b">
        <v>0</v>
      </c>
      <c r="AI302" s="2"/>
      <c r="AJ302" s="2"/>
      <c r="AK302" s="2"/>
      <c r="AL302" s="2"/>
      <c r="AM302" s="2"/>
      <c r="AN302" s="2" t="s">
        <v>1658</v>
      </c>
      <c r="AO302" s="2"/>
      <c r="AP302" s="2"/>
      <c r="AQ302" s="2" t="s">
        <v>251</v>
      </c>
    </row>
    <row r="303" spans="1:43" ht="140">
      <c r="A303" s="2" t="s">
        <v>25</v>
      </c>
      <c r="B303" s="2" t="s">
        <v>1659</v>
      </c>
      <c r="C303" s="2" t="s">
        <v>545</v>
      </c>
      <c r="D303" s="2"/>
      <c r="E303" s="2" t="s">
        <v>193</v>
      </c>
      <c r="F303" s="2" t="s">
        <v>562</v>
      </c>
      <c r="G303" s="2" t="s">
        <v>1660</v>
      </c>
      <c r="H303" s="2">
        <v>10</v>
      </c>
      <c r="I303" s="2" t="s">
        <v>1661</v>
      </c>
      <c r="J303" s="2" t="s">
        <v>1662</v>
      </c>
      <c r="K303" s="2">
        <v>10</v>
      </c>
      <c r="L303" s="2">
        <v>10</v>
      </c>
      <c r="M303" s="3" t="b">
        <v>1</v>
      </c>
      <c r="N303" s="3" t="b">
        <v>1</v>
      </c>
      <c r="O303" s="3" t="b">
        <v>1</v>
      </c>
      <c r="P303" s="2">
        <v>0</v>
      </c>
      <c r="Q303" s="2">
        <v>0</v>
      </c>
      <c r="R303" s="2">
        <v>0</v>
      </c>
      <c r="S303" s="2" t="s">
        <v>826</v>
      </c>
      <c r="T303" s="2"/>
      <c r="U303" s="2"/>
      <c r="V303" s="2" t="s">
        <v>8</v>
      </c>
      <c r="W303" s="2"/>
      <c r="X303" s="2"/>
      <c r="Y303" s="2"/>
      <c r="Z303" s="2" t="s">
        <v>8</v>
      </c>
      <c r="AA303" s="2"/>
      <c r="AB303" s="2" t="s">
        <v>8</v>
      </c>
      <c r="AC303" s="2" t="s">
        <v>8</v>
      </c>
      <c r="AD303" s="2" t="s">
        <v>8</v>
      </c>
      <c r="AE303" s="2"/>
      <c r="AF303" s="2"/>
      <c r="AG303" s="2" t="s">
        <v>8</v>
      </c>
      <c r="AH303" s="3" t="b">
        <v>0</v>
      </c>
      <c r="AI303" s="2"/>
      <c r="AJ303" s="2"/>
      <c r="AK303" s="2"/>
      <c r="AL303" s="2"/>
      <c r="AM303" s="2"/>
      <c r="AN303" s="2" t="s">
        <v>1663</v>
      </c>
      <c r="AO303" s="2"/>
      <c r="AP303" s="2"/>
      <c r="AQ303" s="2" t="s">
        <v>251</v>
      </c>
    </row>
    <row r="304" spans="1:43" ht="266">
      <c r="A304" s="2" t="s">
        <v>25</v>
      </c>
      <c r="B304" s="2" t="s">
        <v>1664</v>
      </c>
      <c r="C304" s="2" t="s">
        <v>545</v>
      </c>
      <c r="D304" s="2"/>
      <c r="E304" s="2" t="s">
        <v>233</v>
      </c>
      <c r="F304" s="2" t="s">
        <v>546</v>
      </c>
      <c r="G304" s="2" t="s">
        <v>1665</v>
      </c>
      <c r="H304" s="2" t="s">
        <v>900</v>
      </c>
      <c r="I304" s="2" t="s">
        <v>1666</v>
      </c>
      <c r="J304" s="2" t="s">
        <v>1667</v>
      </c>
      <c r="K304" s="2" t="s">
        <v>900</v>
      </c>
      <c r="L304" s="2" t="s">
        <v>900</v>
      </c>
      <c r="M304" s="2" t="s">
        <v>900</v>
      </c>
      <c r="N304" s="2" t="s">
        <v>900</v>
      </c>
      <c r="O304" s="3" t="b">
        <v>1</v>
      </c>
      <c r="P304" s="2" t="s">
        <v>900</v>
      </c>
      <c r="Q304" s="2" t="s">
        <v>900</v>
      </c>
      <c r="R304" s="2" t="s">
        <v>900</v>
      </c>
      <c r="S304" s="2" t="s">
        <v>900</v>
      </c>
      <c r="T304" s="2" t="s">
        <v>900</v>
      </c>
      <c r="U304" s="2"/>
      <c r="V304" s="2" t="s">
        <v>8</v>
      </c>
      <c r="W304" s="2"/>
      <c r="X304" s="2"/>
      <c r="Y304" s="2"/>
      <c r="Z304" s="2" t="s">
        <v>8</v>
      </c>
      <c r="AA304" s="2"/>
      <c r="AB304" s="2" t="s">
        <v>8</v>
      </c>
      <c r="AC304" s="2" t="s">
        <v>8</v>
      </c>
      <c r="AD304" s="2" t="s">
        <v>8</v>
      </c>
      <c r="AE304" s="2"/>
      <c r="AF304" s="2"/>
      <c r="AG304" s="2" t="s">
        <v>8</v>
      </c>
      <c r="AH304" s="3" t="b">
        <v>0</v>
      </c>
      <c r="AI304" s="2"/>
      <c r="AJ304" s="2"/>
      <c r="AK304" s="2"/>
      <c r="AL304" s="2"/>
      <c r="AM304" s="2"/>
      <c r="AN304" s="2" t="s">
        <v>1668</v>
      </c>
      <c r="AO304" s="2"/>
      <c r="AP304" s="2"/>
      <c r="AQ304" s="2" t="s">
        <v>251</v>
      </c>
    </row>
    <row r="305" spans="1:43" ht="238">
      <c r="A305" s="2" t="s">
        <v>25</v>
      </c>
      <c r="B305" s="2" t="s">
        <v>1669</v>
      </c>
      <c r="C305" s="2" t="s">
        <v>545</v>
      </c>
      <c r="D305" s="2"/>
      <c r="E305" s="2" t="s">
        <v>233</v>
      </c>
      <c r="F305" s="2" t="s">
        <v>546</v>
      </c>
      <c r="G305" s="2" t="s">
        <v>1670</v>
      </c>
      <c r="H305" s="2" t="s">
        <v>900</v>
      </c>
      <c r="I305" s="2" t="s">
        <v>1671</v>
      </c>
      <c r="J305" s="2" t="s">
        <v>1672</v>
      </c>
      <c r="K305" s="2" t="s">
        <v>900</v>
      </c>
      <c r="L305" s="2" t="s">
        <v>900</v>
      </c>
      <c r="M305" s="2" t="s">
        <v>900</v>
      </c>
      <c r="N305" s="2" t="s">
        <v>900</v>
      </c>
      <c r="O305" s="3" t="b">
        <v>1</v>
      </c>
      <c r="P305" s="2" t="s">
        <v>900</v>
      </c>
      <c r="Q305" s="2" t="s">
        <v>900</v>
      </c>
      <c r="R305" s="2" t="s">
        <v>900</v>
      </c>
      <c r="S305" s="2" t="s">
        <v>900</v>
      </c>
      <c r="T305" s="2" t="s">
        <v>900</v>
      </c>
      <c r="U305" s="2"/>
      <c r="V305" s="2" t="s">
        <v>8</v>
      </c>
      <c r="W305" s="2"/>
      <c r="X305" s="2"/>
      <c r="Y305" s="2"/>
      <c r="Z305" s="2" t="s">
        <v>8</v>
      </c>
      <c r="AA305" s="2"/>
      <c r="AB305" s="2" t="s">
        <v>8</v>
      </c>
      <c r="AC305" s="2" t="s">
        <v>8</v>
      </c>
      <c r="AD305" s="2" t="s">
        <v>8</v>
      </c>
      <c r="AE305" s="2"/>
      <c r="AF305" s="2"/>
      <c r="AG305" s="2" t="s">
        <v>8</v>
      </c>
      <c r="AH305" s="3" t="b">
        <v>0</v>
      </c>
      <c r="AI305" s="2"/>
      <c r="AJ305" s="2"/>
      <c r="AK305" s="2"/>
      <c r="AL305" s="2"/>
      <c r="AM305" s="2"/>
      <c r="AN305" s="2" t="s">
        <v>1673</v>
      </c>
      <c r="AO305" s="2"/>
      <c r="AP305" s="2"/>
      <c r="AQ305" s="2" t="s">
        <v>251</v>
      </c>
    </row>
    <row r="306" spans="1:43" ht="196">
      <c r="A306" s="2" t="s">
        <v>25</v>
      </c>
      <c r="B306" s="2" t="s">
        <v>1674</v>
      </c>
      <c r="C306" s="2" t="s">
        <v>545</v>
      </c>
      <c r="D306" s="2"/>
      <c r="E306" s="2" t="s">
        <v>233</v>
      </c>
      <c r="F306" s="2" t="s">
        <v>562</v>
      </c>
      <c r="G306" s="2" t="s">
        <v>1675</v>
      </c>
      <c r="H306" s="2" t="s">
        <v>900</v>
      </c>
      <c r="I306" s="2" t="s">
        <v>1676</v>
      </c>
      <c r="J306" s="2" t="s">
        <v>1677</v>
      </c>
      <c r="K306" s="2" t="s">
        <v>900</v>
      </c>
      <c r="L306" s="2" t="s">
        <v>900</v>
      </c>
      <c r="M306" s="2" t="s">
        <v>900</v>
      </c>
      <c r="N306" s="2" t="s">
        <v>900</v>
      </c>
      <c r="O306" s="3" t="b">
        <v>1</v>
      </c>
      <c r="P306" s="2" t="s">
        <v>900</v>
      </c>
      <c r="Q306" s="2" t="s">
        <v>900</v>
      </c>
      <c r="R306" s="2" t="s">
        <v>900</v>
      </c>
      <c r="S306" s="2" t="s">
        <v>900</v>
      </c>
      <c r="T306" s="2" t="s">
        <v>900</v>
      </c>
      <c r="U306" s="2"/>
      <c r="V306" s="2" t="s">
        <v>8</v>
      </c>
      <c r="W306" s="2"/>
      <c r="X306" s="2"/>
      <c r="Y306" s="2"/>
      <c r="Z306" s="2" t="s">
        <v>8</v>
      </c>
      <c r="AA306" s="2"/>
      <c r="AB306" s="2" t="s">
        <v>8</v>
      </c>
      <c r="AC306" s="2" t="s">
        <v>8</v>
      </c>
      <c r="AD306" s="2" t="s">
        <v>8</v>
      </c>
      <c r="AE306" s="2"/>
      <c r="AF306" s="2"/>
      <c r="AG306" s="2" t="s">
        <v>8</v>
      </c>
      <c r="AH306" s="3" t="b">
        <v>0</v>
      </c>
      <c r="AI306" s="2"/>
      <c r="AJ306" s="2"/>
      <c r="AK306" s="2"/>
      <c r="AL306" s="2"/>
      <c r="AM306" s="2"/>
      <c r="AN306" s="2" t="s">
        <v>1678</v>
      </c>
      <c r="AO306" s="2"/>
      <c r="AP306" s="2"/>
      <c r="AQ306" s="2" t="s">
        <v>251</v>
      </c>
    </row>
    <row r="307" spans="1:43" ht="126">
      <c r="A307" s="2" t="s">
        <v>25</v>
      </c>
      <c r="B307" s="2" t="s">
        <v>1679</v>
      </c>
      <c r="C307" s="2" t="s">
        <v>545</v>
      </c>
      <c r="D307" s="2"/>
      <c r="E307" s="2" t="s">
        <v>193</v>
      </c>
      <c r="F307" s="2" t="s">
        <v>572</v>
      </c>
      <c r="G307" s="2" t="s">
        <v>1680</v>
      </c>
      <c r="H307" s="2">
        <v>265</v>
      </c>
      <c r="I307" s="2" t="s">
        <v>1681</v>
      </c>
      <c r="J307" s="2" t="s">
        <v>1682</v>
      </c>
      <c r="K307" s="2">
        <v>265</v>
      </c>
      <c r="L307" s="2">
        <v>265</v>
      </c>
      <c r="M307" s="3" t="b">
        <v>1</v>
      </c>
      <c r="N307" s="3" t="b">
        <v>1</v>
      </c>
      <c r="O307" s="3" t="b">
        <v>1</v>
      </c>
      <c r="P307" s="2">
        <v>0</v>
      </c>
      <c r="Q307" s="2">
        <v>0</v>
      </c>
      <c r="R307" s="2">
        <v>265</v>
      </c>
      <c r="S307" s="2" t="s">
        <v>1683</v>
      </c>
      <c r="T307" s="2"/>
      <c r="U307" s="2"/>
      <c r="V307" s="2" t="s">
        <v>8</v>
      </c>
      <c r="W307" s="2"/>
      <c r="X307" s="2"/>
      <c r="Y307" s="2"/>
      <c r="Z307" s="2" t="s">
        <v>8</v>
      </c>
      <c r="AA307" s="2"/>
      <c r="AB307" s="2" t="s">
        <v>8</v>
      </c>
      <c r="AC307" s="2" t="s">
        <v>8</v>
      </c>
      <c r="AD307" s="2" t="s">
        <v>8</v>
      </c>
      <c r="AE307" s="2"/>
      <c r="AF307" s="2"/>
      <c r="AG307" s="2" t="s">
        <v>8</v>
      </c>
      <c r="AH307" s="3" t="b">
        <v>0</v>
      </c>
      <c r="AI307" s="2"/>
      <c r="AJ307" s="2"/>
      <c r="AK307" s="2"/>
      <c r="AL307" s="2"/>
      <c r="AM307" s="2"/>
      <c r="AN307" s="2" t="s">
        <v>1684</v>
      </c>
      <c r="AO307" s="2"/>
      <c r="AP307" s="2"/>
      <c r="AQ307" s="2" t="s">
        <v>251</v>
      </c>
    </row>
    <row r="308" spans="1:43" ht="154">
      <c r="A308" s="2" t="s">
        <v>25</v>
      </c>
      <c r="B308" s="2" t="s">
        <v>439</v>
      </c>
      <c r="C308" s="2" t="s">
        <v>545</v>
      </c>
      <c r="D308" s="2"/>
      <c r="E308" s="2" t="s">
        <v>193</v>
      </c>
      <c r="F308" s="2" t="s">
        <v>562</v>
      </c>
      <c r="G308" s="2" t="s">
        <v>1685</v>
      </c>
      <c r="H308" s="2">
        <v>20</v>
      </c>
      <c r="I308" s="2" t="s">
        <v>442</v>
      </c>
      <c r="J308" s="2" t="s">
        <v>1686</v>
      </c>
      <c r="K308" s="2">
        <v>20</v>
      </c>
      <c r="L308" s="2">
        <v>20</v>
      </c>
      <c r="M308" s="3" t="b">
        <v>1</v>
      </c>
      <c r="N308" s="3" t="b">
        <v>1</v>
      </c>
      <c r="O308" s="3" t="b">
        <v>1</v>
      </c>
      <c r="P308" s="2">
        <v>0</v>
      </c>
      <c r="Q308" s="2">
        <v>0</v>
      </c>
      <c r="R308" s="2">
        <v>20</v>
      </c>
      <c r="S308" s="2" t="s">
        <v>1687</v>
      </c>
      <c r="T308" s="2"/>
      <c r="U308" s="2"/>
      <c r="V308" s="2" t="s">
        <v>8</v>
      </c>
      <c r="W308" s="2"/>
      <c r="X308" s="2"/>
      <c r="Y308" s="2"/>
      <c r="Z308" s="2" t="s">
        <v>581</v>
      </c>
      <c r="AA308" s="2"/>
      <c r="AB308" s="2" t="s">
        <v>581</v>
      </c>
      <c r="AC308" s="2" t="s">
        <v>8</v>
      </c>
      <c r="AD308" s="2" t="s">
        <v>8</v>
      </c>
      <c r="AE308" s="2"/>
      <c r="AF308" s="2"/>
      <c r="AG308" s="2" t="s">
        <v>8</v>
      </c>
      <c r="AH308" s="3" t="b">
        <v>0</v>
      </c>
      <c r="AI308" s="2"/>
      <c r="AJ308" s="2"/>
      <c r="AK308" s="2"/>
      <c r="AL308" s="2"/>
      <c r="AM308" s="2"/>
      <c r="AN308" s="2" t="s">
        <v>1688</v>
      </c>
      <c r="AO308" s="2"/>
      <c r="AP308" s="2"/>
      <c r="AQ308" s="2" t="s">
        <v>251</v>
      </c>
    </row>
    <row r="309" spans="1:43" ht="196">
      <c r="A309" s="2" t="s">
        <v>25</v>
      </c>
      <c r="B309" s="2" t="s">
        <v>1689</v>
      </c>
      <c r="C309" s="2" t="s">
        <v>545</v>
      </c>
      <c r="D309" s="2"/>
      <c r="E309" s="2" t="s">
        <v>200</v>
      </c>
      <c r="F309" s="2" t="s">
        <v>562</v>
      </c>
      <c r="G309" s="2" t="s">
        <v>1690</v>
      </c>
      <c r="H309" s="2">
        <v>4</v>
      </c>
      <c r="I309" s="2" t="s">
        <v>1691</v>
      </c>
      <c r="J309" s="2" t="s">
        <v>1692</v>
      </c>
      <c r="K309" s="2">
        <v>4</v>
      </c>
      <c r="L309" s="2">
        <v>4</v>
      </c>
      <c r="M309" s="3" t="b">
        <v>1</v>
      </c>
      <c r="N309" s="3" t="b">
        <v>1</v>
      </c>
      <c r="O309" s="3" t="b">
        <v>1</v>
      </c>
      <c r="P309" s="2">
        <v>0</v>
      </c>
      <c r="Q309" s="2">
        <v>0</v>
      </c>
      <c r="R309" s="2">
        <v>0</v>
      </c>
      <c r="S309" s="2" t="s">
        <v>826</v>
      </c>
      <c r="T309" s="2"/>
      <c r="U309" s="2"/>
      <c r="V309" s="2" t="s">
        <v>8</v>
      </c>
      <c r="W309" s="2"/>
      <c r="X309" s="2"/>
      <c r="Y309" s="2"/>
      <c r="Z309" s="2" t="s">
        <v>8</v>
      </c>
      <c r="AA309" s="2"/>
      <c r="AB309" s="2" t="s">
        <v>8</v>
      </c>
      <c r="AC309" s="2" t="s">
        <v>8</v>
      </c>
      <c r="AD309" s="2" t="s">
        <v>8</v>
      </c>
      <c r="AE309" s="2"/>
      <c r="AF309" s="2"/>
      <c r="AG309" s="2" t="s">
        <v>8</v>
      </c>
      <c r="AH309" s="3" t="b">
        <v>0</v>
      </c>
      <c r="AI309" s="2"/>
      <c r="AJ309" s="2"/>
      <c r="AK309" s="2"/>
      <c r="AL309" s="2"/>
      <c r="AM309" s="2"/>
      <c r="AN309" s="2" t="s">
        <v>1693</v>
      </c>
      <c r="AO309" s="2"/>
      <c r="AP309" s="2"/>
      <c r="AQ309" s="2" t="s">
        <v>251</v>
      </c>
    </row>
    <row r="310" spans="1:43" ht="224">
      <c r="A310" s="2" t="s">
        <v>25</v>
      </c>
      <c r="B310" s="2" t="s">
        <v>270</v>
      </c>
      <c r="C310" s="2" t="s">
        <v>545</v>
      </c>
      <c r="D310" s="2"/>
      <c r="E310" s="2" t="s">
        <v>185</v>
      </c>
      <c r="F310" s="2" t="s">
        <v>562</v>
      </c>
      <c r="G310" s="2" t="s">
        <v>272</v>
      </c>
      <c r="H310" s="2">
        <v>20</v>
      </c>
      <c r="I310" s="2" t="s">
        <v>1694</v>
      </c>
      <c r="J310" s="2" t="s">
        <v>1695</v>
      </c>
      <c r="K310" s="2">
        <v>20</v>
      </c>
      <c r="L310" s="2">
        <v>20</v>
      </c>
      <c r="M310" s="3" t="b">
        <v>1</v>
      </c>
      <c r="N310" s="3" t="b">
        <v>1</v>
      </c>
      <c r="O310" s="3" t="b">
        <v>1</v>
      </c>
      <c r="P310" s="2">
        <v>0</v>
      </c>
      <c r="Q310" s="2">
        <v>0</v>
      </c>
      <c r="R310" s="2">
        <v>0</v>
      </c>
      <c r="S310" s="2" t="s">
        <v>826</v>
      </c>
      <c r="T310" s="2"/>
      <c r="U310" s="2"/>
      <c r="V310" s="2" t="s">
        <v>8</v>
      </c>
      <c r="W310" s="2"/>
      <c r="X310" s="2"/>
      <c r="Y310" s="2"/>
      <c r="Z310" s="2" t="s">
        <v>10</v>
      </c>
      <c r="AA310" s="2"/>
      <c r="AB310" s="2" t="s">
        <v>10</v>
      </c>
      <c r="AC310" s="2" t="s">
        <v>8</v>
      </c>
      <c r="AD310" s="2" t="s">
        <v>10</v>
      </c>
      <c r="AE310" s="2"/>
      <c r="AF310" s="2"/>
      <c r="AG310" s="2" t="s">
        <v>10</v>
      </c>
      <c r="AH310" s="3" t="b">
        <v>1</v>
      </c>
      <c r="AI310" s="2"/>
      <c r="AJ310" s="2"/>
      <c r="AK310" s="2"/>
      <c r="AL310" s="2"/>
      <c r="AM310" s="2"/>
      <c r="AN310" s="2" t="s">
        <v>1696</v>
      </c>
      <c r="AO310" s="2"/>
      <c r="AP310" s="2"/>
      <c r="AQ310" s="2" t="s">
        <v>251</v>
      </c>
    </row>
    <row r="311" spans="1:43" ht="154">
      <c r="A311" s="2" t="s">
        <v>25</v>
      </c>
      <c r="B311" s="2" t="s">
        <v>443</v>
      </c>
      <c r="C311" s="2" t="s">
        <v>545</v>
      </c>
      <c r="D311" s="2"/>
      <c r="E311" s="2" t="s">
        <v>193</v>
      </c>
      <c r="F311" s="2" t="s">
        <v>572</v>
      </c>
      <c r="G311" s="2" t="s">
        <v>1697</v>
      </c>
      <c r="H311" s="2">
        <v>20</v>
      </c>
      <c r="I311" s="2" t="s">
        <v>446</v>
      </c>
      <c r="J311" s="2" t="s">
        <v>1698</v>
      </c>
      <c r="K311" s="2">
        <v>20</v>
      </c>
      <c r="L311" s="2">
        <v>20</v>
      </c>
      <c r="M311" s="3" t="b">
        <v>1</v>
      </c>
      <c r="N311" s="3" t="b">
        <v>1</v>
      </c>
      <c r="O311" s="3" t="b">
        <v>1</v>
      </c>
      <c r="P311" s="2">
        <v>0</v>
      </c>
      <c r="Q311" s="2">
        <v>0</v>
      </c>
      <c r="R311" s="2">
        <v>0</v>
      </c>
      <c r="S311" s="2" t="s">
        <v>826</v>
      </c>
      <c r="T311" s="2"/>
      <c r="U311" s="2"/>
      <c r="V311" s="2" t="s">
        <v>8</v>
      </c>
      <c r="W311" s="2"/>
      <c r="X311" s="2"/>
      <c r="Y311" s="2"/>
      <c r="Z311" s="2" t="s">
        <v>581</v>
      </c>
      <c r="AA311" s="2"/>
      <c r="AB311" s="2" t="s">
        <v>581</v>
      </c>
      <c r="AC311" s="2" t="s">
        <v>8</v>
      </c>
      <c r="AD311" s="2" t="s">
        <v>8</v>
      </c>
      <c r="AE311" s="2"/>
      <c r="AF311" s="2"/>
      <c r="AG311" s="2" t="s">
        <v>8</v>
      </c>
      <c r="AH311" s="3" t="b">
        <v>0</v>
      </c>
      <c r="AI311" s="2"/>
      <c r="AJ311" s="2"/>
      <c r="AK311" s="2"/>
      <c r="AL311" s="2"/>
      <c r="AM311" s="2"/>
      <c r="AN311" s="2" t="s">
        <v>1699</v>
      </c>
      <c r="AO311" s="2"/>
      <c r="AP311" s="2"/>
      <c r="AQ311" s="2" t="s">
        <v>251</v>
      </c>
    </row>
    <row r="312" spans="1:43" ht="210">
      <c r="A312" s="2" t="s">
        <v>25</v>
      </c>
      <c r="B312" s="2" t="s">
        <v>471</v>
      </c>
      <c r="C312" s="2" t="s">
        <v>545</v>
      </c>
      <c r="D312" s="2"/>
      <c r="E312" s="2" t="s">
        <v>185</v>
      </c>
      <c r="F312" s="2" t="s">
        <v>546</v>
      </c>
      <c r="G312" s="2" t="s">
        <v>1700</v>
      </c>
      <c r="H312" s="2">
        <v>15</v>
      </c>
      <c r="I312" s="2" t="s">
        <v>474</v>
      </c>
      <c r="J312" s="2" t="s">
        <v>1701</v>
      </c>
      <c r="K312" s="2">
        <v>15</v>
      </c>
      <c r="L312" s="2">
        <v>15</v>
      </c>
      <c r="M312" s="3" t="b">
        <v>1</v>
      </c>
      <c r="N312" s="3" t="b">
        <v>1</v>
      </c>
      <c r="O312" s="3" t="b">
        <v>1</v>
      </c>
      <c r="P312" s="2">
        <v>0</v>
      </c>
      <c r="Q312" s="2">
        <v>0</v>
      </c>
      <c r="R312" s="2">
        <v>0</v>
      </c>
      <c r="S312" s="2" t="s">
        <v>826</v>
      </c>
      <c r="T312" s="2"/>
      <c r="U312" s="2"/>
      <c r="V312" s="2" t="s">
        <v>8</v>
      </c>
      <c r="W312" s="2"/>
      <c r="X312" s="2"/>
      <c r="Y312" s="2"/>
      <c r="Z312" s="2" t="s">
        <v>8</v>
      </c>
      <c r="AA312" s="2"/>
      <c r="AB312" s="2" t="s">
        <v>581</v>
      </c>
      <c r="AC312" s="2" t="s">
        <v>8</v>
      </c>
      <c r="AD312" s="2" t="s">
        <v>8</v>
      </c>
      <c r="AE312" s="2"/>
      <c r="AF312" s="2"/>
      <c r="AG312" s="2" t="s">
        <v>8</v>
      </c>
      <c r="AH312" s="3" t="b">
        <v>0</v>
      </c>
      <c r="AI312" s="2"/>
      <c r="AJ312" s="2"/>
      <c r="AK312" s="2"/>
      <c r="AL312" s="2"/>
      <c r="AM312" s="2"/>
      <c r="AN312" s="2" t="s">
        <v>1702</v>
      </c>
      <c r="AO312" s="2"/>
      <c r="AP312" s="2"/>
      <c r="AQ312" s="2" t="s">
        <v>251</v>
      </c>
    </row>
    <row r="313" spans="1:43" ht="112">
      <c r="A313" s="2" t="s">
        <v>25</v>
      </c>
      <c r="B313" s="2" t="s">
        <v>1703</v>
      </c>
      <c r="C313" s="2" t="s">
        <v>680</v>
      </c>
      <c r="D313" s="2"/>
      <c r="E313" s="2" t="s">
        <v>193</v>
      </c>
      <c r="F313" s="2" t="s">
        <v>572</v>
      </c>
      <c r="G313" s="2" t="s">
        <v>1704</v>
      </c>
      <c r="H313" s="2">
        <v>9</v>
      </c>
      <c r="I313" s="2" t="s">
        <v>1705</v>
      </c>
      <c r="J313" s="2" t="s">
        <v>1706</v>
      </c>
      <c r="K313" s="2">
        <v>9</v>
      </c>
      <c r="L313" s="2">
        <v>9</v>
      </c>
      <c r="M313" s="3" t="b">
        <v>1</v>
      </c>
      <c r="N313" s="3" t="b">
        <v>1</v>
      </c>
      <c r="O313" s="3" t="b">
        <v>1</v>
      </c>
      <c r="P313" s="2">
        <v>0</v>
      </c>
      <c r="Q313" s="2">
        <v>0</v>
      </c>
      <c r="R313" s="2">
        <v>0</v>
      </c>
      <c r="S313" s="2" t="s">
        <v>826</v>
      </c>
      <c r="T313" s="2"/>
      <c r="U313" s="2"/>
      <c r="V313" s="2" t="s">
        <v>8</v>
      </c>
      <c r="W313" s="2"/>
      <c r="X313" s="2"/>
      <c r="Y313" s="2"/>
      <c r="Z313" s="2" t="s">
        <v>8</v>
      </c>
      <c r="AA313" s="2"/>
      <c r="AB313" s="2" t="s">
        <v>8</v>
      </c>
      <c r="AC313" s="2" t="s">
        <v>8</v>
      </c>
      <c r="AD313" s="2" t="s">
        <v>8</v>
      </c>
      <c r="AE313" s="2"/>
      <c r="AF313" s="2"/>
      <c r="AG313" s="2" t="s">
        <v>8</v>
      </c>
      <c r="AH313" s="3" t="b">
        <v>0</v>
      </c>
      <c r="AI313" s="2"/>
      <c r="AJ313" s="2"/>
      <c r="AK313" s="2"/>
      <c r="AL313" s="2"/>
      <c r="AM313" s="2"/>
      <c r="AN313" s="2" t="s">
        <v>1707</v>
      </c>
      <c r="AO313" s="2"/>
      <c r="AP313" s="2"/>
      <c r="AQ313" s="2" t="s">
        <v>251</v>
      </c>
    </row>
    <row r="314" spans="1:43" ht="140">
      <c r="A314" s="2" t="s">
        <v>25</v>
      </c>
      <c r="B314" s="2" t="s">
        <v>1708</v>
      </c>
      <c r="C314" s="2" t="s">
        <v>680</v>
      </c>
      <c r="D314" s="2"/>
      <c r="E314" s="2" t="s">
        <v>193</v>
      </c>
      <c r="F314" s="2" t="s">
        <v>546</v>
      </c>
      <c r="G314" s="2" t="s">
        <v>1709</v>
      </c>
      <c r="H314" s="2">
        <v>5</v>
      </c>
      <c r="I314" s="2" t="s">
        <v>1710</v>
      </c>
      <c r="J314" s="2" t="s">
        <v>1711</v>
      </c>
      <c r="K314" s="2">
        <v>5</v>
      </c>
      <c r="L314" s="2">
        <v>5</v>
      </c>
      <c r="M314" s="3" t="b">
        <v>1</v>
      </c>
      <c r="N314" s="3" t="b">
        <v>1</v>
      </c>
      <c r="O314" s="3" t="b">
        <v>1</v>
      </c>
      <c r="P314" s="2">
        <v>0</v>
      </c>
      <c r="Q314" s="2">
        <v>0</v>
      </c>
      <c r="R314" s="2">
        <v>0</v>
      </c>
      <c r="S314" s="2" t="s">
        <v>826</v>
      </c>
      <c r="T314" s="2"/>
      <c r="U314" s="2"/>
      <c r="V314" s="2" t="s">
        <v>8</v>
      </c>
      <c r="W314" s="2"/>
      <c r="X314" s="2"/>
      <c r="Y314" s="2"/>
      <c r="Z314" s="2" t="s">
        <v>8</v>
      </c>
      <c r="AA314" s="2"/>
      <c r="AB314" s="2" t="s">
        <v>8</v>
      </c>
      <c r="AC314" s="2" t="s">
        <v>8</v>
      </c>
      <c r="AD314" s="2" t="s">
        <v>8</v>
      </c>
      <c r="AE314" s="2"/>
      <c r="AF314" s="2"/>
      <c r="AG314" s="2" t="s">
        <v>8</v>
      </c>
      <c r="AH314" s="3" t="b">
        <v>0</v>
      </c>
      <c r="AI314" s="2"/>
      <c r="AJ314" s="2"/>
      <c r="AK314" s="2"/>
      <c r="AL314" s="2"/>
      <c r="AM314" s="2"/>
      <c r="AN314" s="2" t="s">
        <v>1712</v>
      </c>
      <c r="AO314" s="2"/>
      <c r="AP314" s="2"/>
      <c r="AQ314" s="2" t="s">
        <v>251</v>
      </c>
    </row>
    <row r="315" spans="1:43" ht="182">
      <c r="A315" s="2" t="s">
        <v>25</v>
      </c>
      <c r="B315" s="2" t="s">
        <v>447</v>
      </c>
      <c r="C315" s="2" t="s">
        <v>680</v>
      </c>
      <c r="D315" s="2"/>
      <c r="E315" s="2" t="s">
        <v>193</v>
      </c>
      <c r="F315" s="2" t="s">
        <v>562</v>
      </c>
      <c r="G315" s="2" t="s">
        <v>1713</v>
      </c>
      <c r="H315" s="2">
        <v>162481</v>
      </c>
      <c r="I315" s="2" t="s">
        <v>450</v>
      </c>
      <c r="J315" s="2" t="s">
        <v>1714</v>
      </c>
      <c r="K315" s="2">
        <v>162481</v>
      </c>
      <c r="L315" s="2">
        <v>162481</v>
      </c>
      <c r="M315" s="3" t="b">
        <v>1</v>
      </c>
      <c r="N315" s="3" t="b">
        <v>1</v>
      </c>
      <c r="O315" s="3" t="b">
        <v>1</v>
      </c>
      <c r="P315" s="2">
        <v>0</v>
      </c>
      <c r="Q315" s="2">
        <v>0</v>
      </c>
      <c r="R315" s="2">
        <v>49047</v>
      </c>
      <c r="S315" s="2" t="s">
        <v>1715</v>
      </c>
      <c r="T315" s="2">
        <v>49047</v>
      </c>
      <c r="U315" s="2"/>
      <c r="V315" s="2" t="s">
        <v>8</v>
      </c>
      <c r="W315" s="2"/>
      <c r="X315" s="2"/>
      <c r="Y315" s="2"/>
      <c r="Z315" s="2" t="s">
        <v>8</v>
      </c>
      <c r="AA315" s="2"/>
      <c r="AB315" s="2" t="s">
        <v>581</v>
      </c>
      <c r="AC315" s="2" t="s">
        <v>8</v>
      </c>
      <c r="AD315" s="2" t="s">
        <v>8</v>
      </c>
      <c r="AE315" s="2"/>
      <c r="AF315" s="2"/>
      <c r="AG315" s="2" t="s">
        <v>8</v>
      </c>
      <c r="AH315" s="3" t="b">
        <v>0</v>
      </c>
      <c r="AI315" s="2"/>
      <c r="AJ315" s="2"/>
      <c r="AK315" s="2"/>
      <c r="AL315" s="2"/>
      <c r="AM315" s="2"/>
      <c r="AN315" s="2" t="s">
        <v>1716</v>
      </c>
      <c r="AO315" s="2"/>
      <c r="AP315" s="2"/>
      <c r="AQ315" s="2" t="s">
        <v>251</v>
      </c>
    </row>
    <row r="316" spans="1:43" ht="168">
      <c r="A316" s="2" t="s">
        <v>25</v>
      </c>
      <c r="B316" s="2" t="s">
        <v>1717</v>
      </c>
      <c r="C316" s="2" t="s">
        <v>680</v>
      </c>
      <c r="D316" s="2"/>
      <c r="E316" s="2" t="s">
        <v>233</v>
      </c>
      <c r="F316" s="2" t="s">
        <v>572</v>
      </c>
      <c r="G316" s="2" t="s">
        <v>1718</v>
      </c>
      <c r="H316" s="2" t="s">
        <v>900</v>
      </c>
      <c r="I316" s="2" t="s">
        <v>1719</v>
      </c>
      <c r="J316" s="2" t="s">
        <v>1720</v>
      </c>
      <c r="K316" s="2" t="s">
        <v>900</v>
      </c>
      <c r="L316" s="2" t="s">
        <v>900</v>
      </c>
      <c r="M316" s="2" t="s">
        <v>900</v>
      </c>
      <c r="N316" s="2" t="s">
        <v>900</v>
      </c>
      <c r="O316" s="3" t="b">
        <v>1</v>
      </c>
      <c r="P316" s="2" t="s">
        <v>900</v>
      </c>
      <c r="Q316" s="2" t="s">
        <v>900</v>
      </c>
      <c r="R316" s="2" t="s">
        <v>900</v>
      </c>
      <c r="S316" s="2" t="s">
        <v>900</v>
      </c>
      <c r="T316" s="2" t="s">
        <v>900</v>
      </c>
      <c r="U316" s="2"/>
      <c r="V316" s="2" t="s">
        <v>8</v>
      </c>
      <c r="W316" s="2"/>
      <c r="X316" s="2"/>
      <c r="Y316" s="2"/>
      <c r="Z316" s="2" t="s">
        <v>8</v>
      </c>
      <c r="AA316" s="2"/>
      <c r="AB316" s="2" t="s">
        <v>8</v>
      </c>
      <c r="AC316" s="2" t="s">
        <v>8</v>
      </c>
      <c r="AD316" s="2" t="s">
        <v>8</v>
      </c>
      <c r="AE316" s="2"/>
      <c r="AF316" s="2"/>
      <c r="AG316" s="2" t="s">
        <v>8</v>
      </c>
      <c r="AH316" s="3" t="b">
        <v>0</v>
      </c>
      <c r="AI316" s="2"/>
      <c r="AJ316" s="2"/>
      <c r="AK316" s="2"/>
      <c r="AL316" s="2"/>
      <c r="AM316" s="2"/>
      <c r="AN316" s="2" t="s">
        <v>1721</v>
      </c>
      <c r="AO316" s="2"/>
      <c r="AP316" s="2"/>
      <c r="AQ316" s="2" t="s">
        <v>251</v>
      </c>
    </row>
    <row r="317" spans="1:43" ht="182">
      <c r="A317" s="2" t="s">
        <v>25</v>
      </c>
      <c r="B317" s="2" t="s">
        <v>1722</v>
      </c>
      <c r="C317" s="2" t="s">
        <v>680</v>
      </c>
      <c r="D317" s="2"/>
      <c r="E317" s="2" t="s">
        <v>233</v>
      </c>
      <c r="F317" s="2" t="s">
        <v>562</v>
      </c>
      <c r="G317" s="2" t="s">
        <v>1723</v>
      </c>
      <c r="H317" s="2" t="s">
        <v>900</v>
      </c>
      <c r="I317" s="2" t="s">
        <v>1724</v>
      </c>
      <c r="J317" s="2" t="s">
        <v>1725</v>
      </c>
      <c r="K317" s="2" t="s">
        <v>900</v>
      </c>
      <c r="L317" s="2" t="s">
        <v>900</v>
      </c>
      <c r="M317" s="2" t="s">
        <v>900</v>
      </c>
      <c r="N317" s="2" t="s">
        <v>900</v>
      </c>
      <c r="O317" s="3" t="b">
        <v>1</v>
      </c>
      <c r="P317" s="2" t="s">
        <v>900</v>
      </c>
      <c r="Q317" s="2" t="s">
        <v>900</v>
      </c>
      <c r="R317" s="2" t="s">
        <v>900</v>
      </c>
      <c r="S317" s="2" t="s">
        <v>900</v>
      </c>
      <c r="T317" s="2" t="s">
        <v>900</v>
      </c>
      <c r="U317" s="2"/>
      <c r="V317" s="2" t="s">
        <v>8</v>
      </c>
      <c r="W317" s="2"/>
      <c r="X317" s="2"/>
      <c r="Y317" s="2"/>
      <c r="Z317" s="2" t="s">
        <v>8</v>
      </c>
      <c r="AA317" s="2"/>
      <c r="AB317" s="2" t="s">
        <v>8</v>
      </c>
      <c r="AC317" s="2" t="s">
        <v>8</v>
      </c>
      <c r="AD317" s="2" t="s">
        <v>8</v>
      </c>
      <c r="AE317" s="2"/>
      <c r="AF317" s="2"/>
      <c r="AG317" s="2" t="s">
        <v>8</v>
      </c>
      <c r="AH317" s="3" t="b">
        <v>0</v>
      </c>
      <c r="AI317" s="2"/>
      <c r="AJ317" s="2"/>
      <c r="AK317" s="2"/>
      <c r="AL317" s="2"/>
      <c r="AM317" s="2"/>
      <c r="AN317" s="2" t="s">
        <v>1726</v>
      </c>
      <c r="AO317" s="2"/>
      <c r="AP317" s="2"/>
      <c r="AQ317" s="2" t="s">
        <v>251</v>
      </c>
    </row>
    <row r="318" spans="1:43" ht="126">
      <c r="A318" s="2" t="s">
        <v>25</v>
      </c>
      <c r="B318" s="2" t="s">
        <v>1727</v>
      </c>
      <c r="C318" s="2" t="s">
        <v>680</v>
      </c>
      <c r="D318" s="2"/>
      <c r="E318" s="2" t="s">
        <v>193</v>
      </c>
      <c r="F318" s="2" t="s">
        <v>572</v>
      </c>
      <c r="G318" s="2" t="s">
        <v>1728</v>
      </c>
      <c r="H318" s="2">
        <v>9</v>
      </c>
      <c r="I318" s="2" t="s">
        <v>1729</v>
      </c>
      <c r="J318" s="2" t="s">
        <v>1730</v>
      </c>
      <c r="K318" s="2">
        <v>9</v>
      </c>
      <c r="L318" s="2">
        <v>9</v>
      </c>
      <c r="M318" s="3" t="b">
        <v>1</v>
      </c>
      <c r="N318" s="3" t="b">
        <v>1</v>
      </c>
      <c r="O318" s="3" t="b">
        <v>1</v>
      </c>
      <c r="P318" s="2">
        <v>0</v>
      </c>
      <c r="Q318" s="2">
        <v>0</v>
      </c>
      <c r="R318" s="2">
        <v>0</v>
      </c>
      <c r="S318" s="2" t="s">
        <v>826</v>
      </c>
      <c r="T318" s="2"/>
      <c r="U318" s="2"/>
      <c r="V318" s="2" t="s">
        <v>8</v>
      </c>
      <c r="W318" s="2"/>
      <c r="X318" s="2"/>
      <c r="Y318" s="2"/>
      <c r="Z318" s="2" t="s">
        <v>8</v>
      </c>
      <c r="AA318" s="2"/>
      <c r="AB318" s="2" t="s">
        <v>8</v>
      </c>
      <c r="AC318" s="2" t="s">
        <v>8</v>
      </c>
      <c r="AD318" s="2" t="s">
        <v>8</v>
      </c>
      <c r="AE318" s="2"/>
      <c r="AF318" s="2"/>
      <c r="AG318" s="2" t="s">
        <v>8</v>
      </c>
      <c r="AH318" s="3" t="b">
        <v>0</v>
      </c>
      <c r="AI318" s="2"/>
      <c r="AJ318" s="2"/>
      <c r="AK318" s="2"/>
      <c r="AL318" s="2"/>
      <c r="AM318" s="2"/>
      <c r="AN318" s="2" t="s">
        <v>1731</v>
      </c>
      <c r="AO318" s="2"/>
      <c r="AP318" s="2"/>
      <c r="AQ318" s="2" t="s">
        <v>251</v>
      </c>
    </row>
    <row r="319" spans="1:43" ht="154">
      <c r="A319" s="2" t="s">
        <v>25</v>
      </c>
      <c r="B319" s="2" t="s">
        <v>451</v>
      </c>
      <c r="C319" s="2" t="s">
        <v>680</v>
      </c>
      <c r="D319" s="2"/>
      <c r="E319" s="2" t="s">
        <v>193</v>
      </c>
      <c r="F319" s="2" t="s">
        <v>562</v>
      </c>
      <c r="G319" s="2" t="s">
        <v>1732</v>
      </c>
      <c r="H319" s="2">
        <v>15</v>
      </c>
      <c r="I319" s="2" t="s">
        <v>454</v>
      </c>
      <c r="J319" s="2" t="s">
        <v>1733</v>
      </c>
      <c r="K319" s="2">
        <v>15</v>
      </c>
      <c r="L319" s="2">
        <v>15</v>
      </c>
      <c r="M319" s="3" t="b">
        <v>1</v>
      </c>
      <c r="N319" s="3" t="b">
        <v>1</v>
      </c>
      <c r="O319" s="3" t="b">
        <v>1</v>
      </c>
      <c r="P319" s="2">
        <v>0</v>
      </c>
      <c r="Q319" s="2">
        <v>0</v>
      </c>
      <c r="R319" s="2">
        <v>0</v>
      </c>
      <c r="S319" s="2" t="s">
        <v>826</v>
      </c>
      <c r="T319" s="2"/>
      <c r="U319" s="2"/>
      <c r="V319" s="2" t="s">
        <v>8</v>
      </c>
      <c r="W319" s="2"/>
      <c r="X319" s="2"/>
      <c r="Y319" s="2"/>
      <c r="Z319" s="2" t="s">
        <v>581</v>
      </c>
      <c r="AA319" s="2"/>
      <c r="AB319" s="2" t="s">
        <v>581</v>
      </c>
      <c r="AC319" s="2" t="s">
        <v>8</v>
      </c>
      <c r="AD319" s="2" t="s">
        <v>8</v>
      </c>
      <c r="AE319" s="2"/>
      <c r="AF319" s="2"/>
      <c r="AG319" s="2" t="s">
        <v>8</v>
      </c>
      <c r="AH319" s="3" t="b">
        <v>0</v>
      </c>
      <c r="AI319" s="2"/>
      <c r="AJ319" s="2"/>
      <c r="AK319" s="2"/>
      <c r="AL319" s="2"/>
      <c r="AM319" s="2"/>
      <c r="AN319" s="2" t="s">
        <v>1734</v>
      </c>
      <c r="AO319" s="2"/>
      <c r="AP319" s="2"/>
      <c r="AQ319" s="2" t="s">
        <v>251</v>
      </c>
    </row>
    <row r="320" spans="1:43" ht="154">
      <c r="A320" s="2" t="s">
        <v>25</v>
      </c>
      <c r="B320" s="2" t="s">
        <v>1735</v>
      </c>
      <c r="C320" s="2" t="s">
        <v>680</v>
      </c>
      <c r="D320" s="2"/>
      <c r="E320" s="2" t="s">
        <v>889</v>
      </c>
      <c r="F320" s="2" t="s">
        <v>562</v>
      </c>
      <c r="G320" s="2" t="s">
        <v>1736</v>
      </c>
      <c r="H320" s="2">
        <v>1</v>
      </c>
      <c r="I320" s="2" t="s">
        <v>892</v>
      </c>
      <c r="J320" s="2" t="s">
        <v>893</v>
      </c>
      <c r="K320" s="2" t="s">
        <v>550</v>
      </c>
      <c r="L320" s="2" t="s">
        <v>550</v>
      </c>
      <c r="M320" s="2" t="s">
        <v>550</v>
      </c>
      <c r="N320" s="2" t="s">
        <v>550</v>
      </c>
      <c r="O320" s="3" t="b">
        <v>1</v>
      </c>
      <c r="P320" s="2" t="s">
        <v>550</v>
      </c>
      <c r="Q320" s="2" t="s">
        <v>550</v>
      </c>
      <c r="R320" s="2" t="s">
        <v>550</v>
      </c>
      <c r="S320" s="2" t="s">
        <v>550</v>
      </c>
      <c r="T320" s="2" t="s">
        <v>550</v>
      </c>
      <c r="U320" s="2"/>
      <c r="V320" s="2" t="s">
        <v>550</v>
      </c>
      <c r="W320" s="2"/>
      <c r="X320" s="2"/>
      <c r="Y320" s="2"/>
      <c r="Z320" s="2" t="s">
        <v>8</v>
      </c>
      <c r="AA320" s="2"/>
      <c r="AB320" s="2" t="s">
        <v>8</v>
      </c>
      <c r="AC320" s="2" t="s">
        <v>8</v>
      </c>
      <c r="AD320" s="2" t="s">
        <v>550</v>
      </c>
      <c r="AE320" s="2"/>
      <c r="AF320" s="2"/>
      <c r="AG320" s="2" t="s">
        <v>8</v>
      </c>
      <c r="AH320" s="3" t="b">
        <v>0</v>
      </c>
      <c r="AI320" s="2"/>
      <c r="AJ320" s="2"/>
      <c r="AK320" s="2"/>
      <c r="AL320" s="2"/>
      <c r="AM320" s="2"/>
      <c r="AN320" s="2" t="s">
        <v>1737</v>
      </c>
      <c r="AO320" s="2"/>
      <c r="AP320" s="2"/>
      <c r="AQ320" s="2" t="s">
        <v>251</v>
      </c>
    </row>
    <row r="321" spans="1:43" ht="140">
      <c r="A321" s="2" t="s">
        <v>25</v>
      </c>
      <c r="B321" s="2" t="s">
        <v>1738</v>
      </c>
      <c r="C321" s="2" t="s">
        <v>680</v>
      </c>
      <c r="D321" s="2"/>
      <c r="E321" s="2" t="s">
        <v>193</v>
      </c>
      <c r="F321" s="2" t="s">
        <v>546</v>
      </c>
      <c r="G321" s="2" t="s">
        <v>1739</v>
      </c>
      <c r="H321" s="2">
        <v>4</v>
      </c>
      <c r="I321" s="2" t="s">
        <v>1740</v>
      </c>
      <c r="J321" s="2" t="s">
        <v>1741</v>
      </c>
      <c r="K321" s="2">
        <v>4</v>
      </c>
      <c r="L321" s="2">
        <v>4</v>
      </c>
      <c r="M321" s="3" t="b">
        <v>1</v>
      </c>
      <c r="N321" s="3" t="b">
        <v>1</v>
      </c>
      <c r="O321" s="3" t="b">
        <v>1</v>
      </c>
      <c r="P321" s="2">
        <v>0</v>
      </c>
      <c r="Q321" s="2">
        <v>0</v>
      </c>
      <c r="R321" s="2">
        <v>0</v>
      </c>
      <c r="S321" s="2" t="s">
        <v>826</v>
      </c>
      <c r="T321" s="2"/>
      <c r="U321" s="2"/>
      <c r="V321" s="2" t="s">
        <v>8</v>
      </c>
      <c r="W321" s="2"/>
      <c r="X321" s="2"/>
      <c r="Y321" s="2"/>
      <c r="Z321" s="2" t="s">
        <v>8</v>
      </c>
      <c r="AA321" s="2"/>
      <c r="AB321" s="2" t="s">
        <v>8</v>
      </c>
      <c r="AC321" s="2" t="s">
        <v>8</v>
      </c>
      <c r="AD321" s="2" t="s">
        <v>8</v>
      </c>
      <c r="AE321" s="2"/>
      <c r="AF321" s="2"/>
      <c r="AG321" s="2" t="s">
        <v>8</v>
      </c>
      <c r="AH321" s="3" t="b">
        <v>0</v>
      </c>
      <c r="AI321" s="2"/>
      <c r="AJ321" s="2"/>
      <c r="AK321" s="2"/>
      <c r="AL321" s="2"/>
      <c r="AM321" s="2"/>
      <c r="AN321" s="2" t="s">
        <v>1742</v>
      </c>
      <c r="AO321" s="2"/>
      <c r="AP321" s="2"/>
      <c r="AQ321" s="2" t="s">
        <v>251</v>
      </c>
    </row>
    <row r="322" spans="1:43" ht="140">
      <c r="A322" s="2" t="s">
        <v>25</v>
      </c>
      <c r="B322" s="2" t="s">
        <v>1743</v>
      </c>
      <c r="C322" s="2" t="s">
        <v>680</v>
      </c>
      <c r="D322" s="2"/>
      <c r="E322" s="2" t="s">
        <v>193</v>
      </c>
      <c r="F322" s="2" t="s">
        <v>546</v>
      </c>
      <c r="G322" s="2" t="s">
        <v>1744</v>
      </c>
      <c r="H322" s="2">
        <v>4</v>
      </c>
      <c r="I322" s="2" t="s">
        <v>1745</v>
      </c>
      <c r="J322" s="2" t="s">
        <v>1746</v>
      </c>
      <c r="K322" s="2">
        <v>4</v>
      </c>
      <c r="L322" s="2">
        <v>4</v>
      </c>
      <c r="M322" s="3" t="b">
        <v>1</v>
      </c>
      <c r="N322" s="3" t="b">
        <v>1</v>
      </c>
      <c r="O322" s="3" t="b">
        <v>1</v>
      </c>
      <c r="P322" s="2">
        <v>0</v>
      </c>
      <c r="Q322" s="2">
        <v>0</v>
      </c>
      <c r="R322" s="2">
        <v>0</v>
      </c>
      <c r="S322" s="2" t="s">
        <v>826</v>
      </c>
      <c r="T322" s="2"/>
      <c r="U322" s="2"/>
      <c r="V322" s="2" t="s">
        <v>8</v>
      </c>
      <c r="W322" s="2"/>
      <c r="X322" s="2"/>
      <c r="Y322" s="2"/>
      <c r="Z322" s="2" t="s">
        <v>8</v>
      </c>
      <c r="AA322" s="2"/>
      <c r="AB322" s="2" t="s">
        <v>8</v>
      </c>
      <c r="AC322" s="2" t="s">
        <v>8</v>
      </c>
      <c r="AD322" s="2" t="s">
        <v>8</v>
      </c>
      <c r="AE322" s="2"/>
      <c r="AF322" s="2"/>
      <c r="AG322" s="2" t="s">
        <v>8</v>
      </c>
      <c r="AH322" s="3" t="b">
        <v>0</v>
      </c>
      <c r="AI322" s="2"/>
      <c r="AJ322" s="2"/>
      <c r="AK322" s="2"/>
      <c r="AL322" s="2"/>
      <c r="AM322" s="2"/>
      <c r="AN322" s="2" t="s">
        <v>1747</v>
      </c>
      <c r="AO322" s="2"/>
      <c r="AP322" s="2"/>
      <c r="AQ322" s="2" t="s">
        <v>251</v>
      </c>
    </row>
    <row r="323" spans="1:43" ht="112">
      <c r="A323" s="2" t="s">
        <v>25</v>
      </c>
      <c r="B323" s="2" t="s">
        <v>1748</v>
      </c>
      <c r="C323" s="2" t="s">
        <v>680</v>
      </c>
      <c r="D323" s="2"/>
      <c r="E323" s="2" t="s">
        <v>193</v>
      </c>
      <c r="F323" s="2" t="s">
        <v>562</v>
      </c>
      <c r="G323" s="2" t="s">
        <v>1749</v>
      </c>
      <c r="H323" s="2"/>
      <c r="I323" s="2" t="s">
        <v>1750</v>
      </c>
      <c r="J323" s="2" t="s">
        <v>1751</v>
      </c>
      <c r="K323" s="2"/>
      <c r="L323" s="2">
        <v>0</v>
      </c>
      <c r="M323" s="3" t="b">
        <v>1</v>
      </c>
      <c r="N323" s="3" t="b">
        <v>1</v>
      </c>
      <c r="O323" s="3" t="b">
        <v>1</v>
      </c>
      <c r="P323" s="2">
        <v>0</v>
      </c>
      <c r="Q323" s="2">
        <v>0</v>
      </c>
      <c r="R323" s="2">
        <v>0</v>
      </c>
      <c r="S323" s="2" t="s">
        <v>826</v>
      </c>
      <c r="T323" s="2"/>
      <c r="U323" s="2"/>
      <c r="V323" s="2" t="s">
        <v>8</v>
      </c>
      <c r="W323" s="2"/>
      <c r="X323" s="2"/>
      <c r="Y323" s="2"/>
      <c r="Z323" s="2" t="s">
        <v>8</v>
      </c>
      <c r="AA323" s="2"/>
      <c r="AB323" s="2" t="s">
        <v>8</v>
      </c>
      <c r="AC323" s="2" t="s">
        <v>8</v>
      </c>
      <c r="AD323" s="2" t="s">
        <v>8</v>
      </c>
      <c r="AE323" s="2"/>
      <c r="AF323" s="2"/>
      <c r="AG323" s="2" t="s">
        <v>8</v>
      </c>
      <c r="AH323" s="3" t="b">
        <v>0</v>
      </c>
      <c r="AI323" s="2"/>
      <c r="AJ323" s="2"/>
      <c r="AK323" s="2"/>
      <c r="AL323" s="2"/>
      <c r="AM323" s="2"/>
      <c r="AN323" s="2" t="s">
        <v>1752</v>
      </c>
      <c r="AO323" s="2"/>
      <c r="AP323" s="2"/>
      <c r="AQ323" s="2" t="s">
        <v>251</v>
      </c>
    </row>
    <row r="324" spans="1:43" ht="140">
      <c r="A324" s="2" t="s">
        <v>25</v>
      </c>
      <c r="B324" s="2" t="s">
        <v>1753</v>
      </c>
      <c r="C324" s="2" t="s">
        <v>680</v>
      </c>
      <c r="D324" s="2"/>
      <c r="E324" s="2" t="s">
        <v>193</v>
      </c>
      <c r="F324" s="2" t="s">
        <v>572</v>
      </c>
      <c r="G324" s="2" t="s">
        <v>1754</v>
      </c>
      <c r="H324" s="2">
        <v>1</v>
      </c>
      <c r="I324" s="2" t="s">
        <v>1755</v>
      </c>
      <c r="J324" s="2" t="s">
        <v>1756</v>
      </c>
      <c r="K324" s="2">
        <v>1</v>
      </c>
      <c r="L324" s="2">
        <v>1</v>
      </c>
      <c r="M324" s="3" t="b">
        <v>1</v>
      </c>
      <c r="N324" s="3" t="b">
        <v>1</v>
      </c>
      <c r="O324" s="3" t="b">
        <v>1</v>
      </c>
      <c r="P324" s="2">
        <v>0</v>
      </c>
      <c r="Q324" s="2">
        <v>0</v>
      </c>
      <c r="R324" s="2">
        <v>0</v>
      </c>
      <c r="S324" s="2" t="s">
        <v>826</v>
      </c>
      <c r="T324" s="2"/>
      <c r="U324" s="2"/>
      <c r="V324" s="2" t="s">
        <v>8</v>
      </c>
      <c r="W324" s="2"/>
      <c r="X324" s="2"/>
      <c r="Y324" s="2"/>
      <c r="Z324" s="2" t="s">
        <v>8</v>
      </c>
      <c r="AA324" s="2"/>
      <c r="AB324" s="2" t="s">
        <v>8</v>
      </c>
      <c r="AC324" s="2" t="s">
        <v>8</v>
      </c>
      <c r="AD324" s="2" t="s">
        <v>8</v>
      </c>
      <c r="AE324" s="2"/>
      <c r="AF324" s="2"/>
      <c r="AG324" s="2" t="s">
        <v>8</v>
      </c>
      <c r="AH324" s="3" t="b">
        <v>0</v>
      </c>
      <c r="AI324" s="2"/>
      <c r="AJ324" s="2"/>
      <c r="AK324" s="2"/>
      <c r="AL324" s="2"/>
      <c r="AM324" s="2"/>
      <c r="AN324" s="2" t="s">
        <v>1757</v>
      </c>
      <c r="AO324" s="2"/>
      <c r="AP324" s="2"/>
      <c r="AQ324" s="2" t="s">
        <v>251</v>
      </c>
    </row>
    <row r="325" spans="1:43" ht="168">
      <c r="A325" s="2" t="s">
        <v>25</v>
      </c>
      <c r="B325" s="2" t="s">
        <v>455</v>
      </c>
      <c r="C325" s="2" t="s">
        <v>680</v>
      </c>
      <c r="D325" s="2"/>
      <c r="E325" s="2" t="s">
        <v>193</v>
      </c>
      <c r="F325" s="2" t="s">
        <v>562</v>
      </c>
      <c r="G325" s="2" t="s">
        <v>1758</v>
      </c>
      <c r="H325" s="2">
        <v>15</v>
      </c>
      <c r="I325" s="2" t="s">
        <v>458</v>
      </c>
      <c r="J325" s="2" t="s">
        <v>1759</v>
      </c>
      <c r="K325" s="2">
        <v>15</v>
      </c>
      <c r="L325" s="2">
        <v>15</v>
      </c>
      <c r="M325" s="3" t="b">
        <v>1</v>
      </c>
      <c r="N325" s="3" t="b">
        <v>1</v>
      </c>
      <c r="O325" s="3" t="b">
        <v>1</v>
      </c>
      <c r="P325" s="2">
        <v>0</v>
      </c>
      <c r="Q325" s="2">
        <v>0</v>
      </c>
      <c r="R325" s="2">
        <v>0</v>
      </c>
      <c r="S325" s="2" t="s">
        <v>826</v>
      </c>
      <c r="T325" s="2"/>
      <c r="U325" s="2"/>
      <c r="V325" s="2" t="s">
        <v>8</v>
      </c>
      <c r="W325" s="2"/>
      <c r="X325" s="2"/>
      <c r="Y325" s="2"/>
      <c r="Z325" s="2" t="s">
        <v>581</v>
      </c>
      <c r="AA325" s="2"/>
      <c r="AB325" s="2" t="s">
        <v>581</v>
      </c>
      <c r="AC325" s="2" t="s">
        <v>8</v>
      </c>
      <c r="AD325" s="2" t="s">
        <v>8</v>
      </c>
      <c r="AE325" s="2"/>
      <c r="AF325" s="2"/>
      <c r="AG325" s="2" t="s">
        <v>8</v>
      </c>
      <c r="AH325" s="3" t="b">
        <v>0</v>
      </c>
      <c r="AI325" s="2"/>
      <c r="AJ325" s="2"/>
      <c r="AK325" s="2"/>
      <c r="AL325" s="2"/>
      <c r="AM325" s="2"/>
      <c r="AN325" s="2" t="s">
        <v>1760</v>
      </c>
      <c r="AO325" s="2"/>
      <c r="AP325" s="2"/>
      <c r="AQ325" s="2" t="s">
        <v>251</v>
      </c>
    </row>
    <row r="326" spans="1:43" ht="238">
      <c r="A326" s="2" t="s">
        <v>25</v>
      </c>
      <c r="B326" s="2" t="s">
        <v>475</v>
      </c>
      <c r="C326" s="2" t="s">
        <v>680</v>
      </c>
      <c r="D326" s="2"/>
      <c r="E326" s="2" t="s">
        <v>185</v>
      </c>
      <c r="F326" s="2" t="s">
        <v>562</v>
      </c>
      <c r="G326" s="2" t="s">
        <v>1761</v>
      </c>
      <c r="H326" s="2">
        <v>1</v>
      </c>
      <c r="I326" s="2" t="s">
        <v>478</v>
      </c>
      <c r="J326" s="2" t="s">
        <v>1762</v>
      </c>
      <c r="K326" s="2">
        <v>1</v>
      </c>
      <c r="L326" s="2">
        <v>1</v>
      </c>
      <c r="M326" s="3" t="b">
        <v>1</v>
      </c>
      <c r="N326" s="3" t="b">
        <v>1</v>
      </c>
      <c r="O326" s="3" t="b">
        <v>1</v>
      </c>
      <c r="P326" s="2">
        <v>0</v>
      </c>
      <c r="Q326" s="2">
        <v>0</v>
      </c>
      <c r="R326" s="2">
        <v>0</v>
      </c>
      <c r="S326" s="2" t="s">
        <v>826</v>
      </c>
      <c r="T326" s="2"/>
      <c r="U326" s="2"/>
      <c r="V326" s="2" t="s">
        <v>8</v>
      </c>
      <c r="W326" s="2"/>
      <c r="X326" s="2"/>
      <c r="Y326" s="2"/>
      <c r="Z326" s="2" t="s">
        <v>8</v>
      </c>
      <c r="AA326" s="2"/>
      <c r="AB326" s="2" t="s">
        <v>8</v>
      </c>
      <c r="AC326" s="2" t="s">
        <v>8</v>
      </c>
      <c r="AD326" s="2" t="s">
        <v>8</v>
      </c>
      <c r="AE326" s="2"/>
      <c r="AF326" s="2"/>
      <c r="AG326" s="2" t="s">
        <v>8</v>
      </c>
      <c r="AH326" s="3" t="b">
        <v>0</v>
      </c>
      <c r="AI326" s="2"/>
      <c r="AJ326" s="2"/>
      <c r="AK326" s="2"/>
      <c r="AL326" s="2"/>
      <c r="AM326" s="2"/>
      <c r="AN326" s="2" t="s">
        <v>1763</v>
      </c>
      <c r="AO326" s="2"/>
      <c r="AP326" s="2"/>
      <c r="AQ326" s="2" t="s">
        <v>251</v>
      </c>
    </row>
    <row r="327" spans="1:43" ht="154">
      <c r="A327" s="2" t="s">
        <v>25</v>
      </c>
      <c r="B327" s="2" t="s">
        <v>1764</v>
      </c>
      <c r="C327" s="2" t="s">
        <v>680</v>
      </c>
      <c r="D327" s="2"/>
      <c r="E327" s="2" t="s">
        <v>200</v>
      </c>
      <c r="F327" s="2" t="s">
        <v>572</v>
      </c>
      <c r="G327" s="2" t="s">
        <v>1765</v>
      </c>
      <c r="H327" s="2">
        <v>4</v>
      </c>
      <c r="I327" s="2" t="s">
        <v>1766</v>
      </c>
      <c r="J327" s="2" t="s">
        <v>1767</v>
      </c>
      <c r="K327" s="2">
        <v>4</v>
      </c>
      <c r="L327" s="2">
        <v>4</v>
      </c>
      <c r="M327" s="3" t="b">
        <v>1</v>
      </c>
      <c r="N327" s="3" t="b">
        <v>1</v>
      </c>
      <c r="O327" s="3" t="b">
        <v>1</v>
      </c>
      <c r="P327" s="2">
        <v>0</v>
      </c>
      <c r="Q327" s="2">
        <v>0</v>
      </c>
      <c r="R327" s="2">
        <v>0</v>
      </c>
      <c r="S327" s="2" t="s">
        <v>826</v>
      </c>
      <c r="T327" s="2"/>
      <c r="U327" s="2"/>
      <c r="V327" s="2" t="s">
        <v>8</v>
      </c>
      <c r="W327" s="2"/>
      <c r="X327" s="2"/>
      <c r="Y327" s="2"/>
      <c r="Z327" s="2" t="s">
        <v>8</v>
      </c>
      <c r="AA327" s="2"/>
      <c r="AB327" s="2" t="s">
        <v>8</v>
      </c>
      <c r="AC327" s="2" t="s">
        <v>8</v>
      </c>
      <c r="AD327" s="2" t="s">
        <v>8</v>
      </c>
      <c r="AE327" s="2"/>
      <c r="AF327" s="2"/>
      <c r="AG327" s="2" t="s">
        <v>8</v>
      </c>
      <c r="AH327" s="3" t="b">
        <v>0</v>
      </c>
      <c r="AI327" s="2"/>
      <c r="AJ327" s="2"/>
      <c r="AK327" s="2"/>
      <c r="AL327" s="2"/>
      <c r="AM327" s="2"/>
      <c r="AN327" s="2" t="s">
        <v>1768</v>
      </c>
      <c r="AO327" s="2"/>
      <c r="AP327" s="2"/>
      <c r="AQ327" s="2" t="s">
        <v>251</v>
      </c>
    </row>
    <row r="328" spans="1:43" ht="84">
      <c r="A328" s="2" t="s">
        <v>25</v>
      </c>
      <c r="B328" s="2" t="s">
        <v>282</v>
      </c>
      <c r="C328" s="2" t="s">
        <v>680</v>
      </c>
      <c r="D328" s="2"/>
      <c r="E328" s="2" t="s">
        <v>233</v>
      </c>
      <c r="F328" s="2" t="s">
        <v>546</v>
      </c>
      <c r="G328" s="2" t="s">
        <v>284</v>
      </c>
      <c r="H328" s="2" t="s">
        <v>900</v>
      </c>
      <c r="I328" s="2" t="s">
        <v>1769</v>
      </c>
      <c r="J328" s="2" t="s">
        <v>1770</v>
      </c>
      <c r="K328" s="2" t="s">
        <v>900</v>
      </c>
      <c r="L328" s="2" t="s">
        <v>900</v>
      </c>
      <c r="M328" s="2" t="s">
        <v>900</v>
      </c>
      <c r="N328" s="2" t="s">
        <v>900</v>
      </c>
      <c r="O328" s="2"/>
      <c r="P328" s="2" t="s">
        <v>900</v>
      </c>
      <c r="Q328" s="2" t="s">
        <v>900</v>
      </c>
      <c r="R328" s="2" t="s">
        <v>900</v>
      </c>
      <c r="S328" s="2" t="s">
        <v>900</v>
      </c>
      <c r="T328" s="2" t="s">
        <v>900</v>
      </c>
      <c r="U328" s="2"/>
      <c r="V328" s="2" t="s">
        <v>8</v>
      </c>
      <c r="W328" s="2"/>
      <c r="X328" s="2"/>
      <c r="Y328" s="2"/>
      <c r="Z328" s="2" t="s">
        <v>10</v>
      </c>
      <c r="AA328" s="2"/>
      <c r="AB328" s="2" t="s">
        <v>8</v>
      </c>
      <c r="AC328" s="2" t="s">
        <v>8</v>
      </c>
      <c r="AD328" s="2" t="s">
        <v>8</v>
      </c>
      <c r="AE328" s="2"/>
      <c r="AF328" s="2"/>
      <c r="AG328" s="2" t="s">
        <v>10</v>
      </c>
      <c r="AH328" s="3" t="b">
        <v>1</v>
      </c>
      <c r="AI328" s="2"/>
      <c r="AJ328" s="2"/>
      <c r="AK328" s="2"/>
      <c r="AL328" s="2"/>
      <c r="AM328" s="2"/>
      <c r="AN328" s="2" t="s">
        <v>1771</v>
      </c>
      <c r="AO328" s="2"/>
      <c r="AP328" s="2"/>
      <c r="AQ328" s="2" t="s">
        <v>251</v>
      </c>
    </row>
    <row r="329" spans="1:43" ht="252">
      <c r="A329" s="2" t="s">
        <v>25</v>
      </c>
      <c r="B329" s="2" t="s">
        <v>276</v>
      </c>
      <c r="C329" s="2" t="s">
        <v>680</v>
      </c>
      <c r="D329" s="2"/>
      <c r="E329" s="2" t="s">
        <v>185</v>
      </c>
      <c r="F329" s="2" t="s">
        <v>546</v>
      </c>
      <c r="G329" s="2" t="s">
        <v>278</v>
      </c>
      <c r="H329" s="2">
        <v>10</v>
      </c>
      <c r="I329" s="2" t="s">
        <v>1772</v>
      </c>
      <c r="J329" s="2" t="s">
        <v>1773</v>
      </c>
      <c r="K329" s="2">
        <v>10</v>
      </c>
      <c r="L329" s="2">
        <v>10</v>
      </c>
      <c r="M329" s="3" t="b">
        <v>1</v>
      </c>
      <c r="N329" s="3" t="b">
        <v>1</v>
      </c>
      <c r="O329" s="2"/>
      <c r="P329" s="2">
        <v>0</v>
      </c>
      <c r="Q329" s="2">
        <v>0</v>
      </c>
      <c r="R329" s="2">
        <v>0</v>
      </c>
      <c r="S329" s="2" t="s">
        <v>826</v>
      </c>
      <c r="T329" s="2"/>
      <c r="U329" s="2"/>
      <c r="V329" s="2" t="s">
        <v>1603</v>
      </c>
      <c r="W329" s="2"/>
      <c r="X329" s="2"/>
      <c r="Y329" s="2"/>
      <c r="Z329" s="2" t="s">
        <v>8</v>
      </c>
      <c r="AA329" s="2"/>
      <c r="AB329" s="2" t="s">
        <v>10</v>
      </c>
      <c r="AC329" s="2" t="s">
        <v>8</v>
      </c>
      <c r="AD329" s="2" t="s">
        <v>8</v>
      </c>
      <c r="AE329" s="2"/>
      <c r="AF329" s="2"/>
      <c r="AG329" s="2" t="s">
        <v>10</v>
      </c>
      <c r="AH329" s="3" t="b">
        <v>1</v>
      </c>
      <c r="AI329" s="2"/>
      <c r="AJ329" s="2"/>
      <c r="AK329" s="2"/>
      <c r="AL329" s="2"/>
      <c r="AM329" s="2"/>
      <c r="AN329" s="2" t="s">
        <v>1774</v>
      </c>
      <c r="AO329" s="2"/>
      <c r="AP329" s="2"/>
      <c r="AQ329" s="2" t="s">
        <v>251</v>
      </c>
    </row>
    <row r="330" spans="1:43" ht="182">
      <c r="A330" s="2" t="s">
        <v>25</v>
      </c>
      <c r="B330" s="2" t="s">
        <v>1775</v>
      </c>
      <c r="C330" s="2" t="s">
        <v>680</v>
      </c>
      <c r="D330" s="2"/>
      <c r="E330" s="2" t="s">
        <v>185</v>
      </c>
      <c r="F330" s="2" t="s">
        <v>562</v>
      </c>
      <c r="G330" s="2" t="s">
        <v>1776</v>
      </c>
      <c r="H330" s="2">
        <v>1</v>
      </c>
      <c r="I330" s="2" t="s">
        <v>1777</v>
      </c>
      <c r="J330" s="2" t="s">
        <v>1778</v>
      </c>
      <c r="K330" s="2">
        <v>1</v>
      </c>
      <c r="L330" s="2">
        <v>1</v>
      </c>
      <c r="M330" s="3" t="b">
        <v>1</v>
      </c>
      <c r="N330" s="3" t="b">
        <v>1</v>
      </c>
      <c r="O330" s="3" t="b">
        <v>1</v>
      </c>
      <c r="P330" s="2">
        <v>0</v>
      </c>
      <c r="Q330" s="2">
        <v>0</v>
      </c>
      <c r="R330" s="2">
        <v>0</v>
      </c>
      <c r="S330" s="2" t="s">
        <v>826</v>
      </c>
      <c r="T330" s="2"/>
      <c r="U330" s="2"/>
      <c r="V330" s="2" t="s">
        <v>8</v>
      </c>
      <c r="W330" s="2"/>
      <c r="X330" s="2"/>
      <c r="Y330" s="2"/>
      <c r="Z330" s="2" t="s">
        <v>8</v>
      </c>
      <c r="AA330" s="2"/>
      <c r="AB330" s="2" t="s">
        <v>8</v>
      </c>
      <c r="AC330" s="2" t="s">
        <v>8</v>
      </c>
      <c r="AD330" s="2" t="s">
        <v>8</v>
      </c>
      <c r="AE330" s="2"/>
      <c r="AF330" s="2"/>
      <c r="AG330" s="2" t="s">
        <v>8</v>
      </c>
      <c r="AH330" s="3" t="b">
        <v>0</v>
      </c>
      <c r="AI330" s="2"/>
      <c r="AJ330" s="2"/>
      <c r="AK330" s="2"/>
      <c r="AL330" s="2"/>
      <c r="AM330" s="2"/>
      <c r="AN330" s="2" t="s">
        <v>1779</v>
      </c>
      <c r="AO330" s="2"/>
      <c r="AP330" s="2"/>
      <c r="AQ330" s="2" t="s">
        <v>251</v>
      </c>
    </row>
    <row r="331" spans="1:43" ht="252">
      <c r="A331" s="2" t="s">
        <v>25</v>
      </c>
      <c r="B331" s="2" t="s">
        <v>479</v>
      </c>
      <c r="C331" s="2" t="s">
        <v>680</v>
      </c>
      <c r="D331" s="2"/>
      <c r="E331" s="2" t="s">
        <v>185</v>
      </c>
      <c r="F331" s="2" t="s">
        <v>546</v>
      </c>
      <c r="G331" s="2" t="s">
        <v>1780</v>
      </c>
      <c r="H331" s="2">
        <v>3</v>
      </c>
      <c r="I331" s="2" t="s">
        <v>482</v>
      </c>
      <c r="J331" s="2" t="s">
        <v>1781</v>
      </c>
      <c r="K331" s="2">
        <v>3</v>
      </c>
      <c r="L331" s="2">
        <v>3</v>
      </c>
      <c r="M331" s="3" t="b">
        <v>1</v>
      </c>
      <c r="N331" s="3" t="b">
        <v>1</v>
      </c>
      <c r="O331" s="3" t="b">
        <v>1</v>
      </c>
      <c r="P331" s="2">
        <v>0</v>
      </c>
      <c r="Q331" s="2">
        <v>0</v>
      </c>
      <c r="R331" s="2">
        <v>0</v>
      </c>
      <c r="S331" s="2" t="s">
        <v>826</v>
      </c>
      <c r="T331" s="2"/>
      <c r="U331" s="2"/>
      <c r="V331" s="2" t="s">
        <v>8</v>
      </c>
      <c r="W331" s="2"/>
      <c r="X331" s="2"/>
      <c r="Y331" s="2"/>
      <c r="Z331" s="2" t="s">
        <v>8</v>
      </c>
      <c r="AA331" s="2"/>
      <c r="AB331" s="2" t="s">
        <v>8</v>
      </c>
      <c r="AC331" s="2" t="s">
        <v>8</v>
      </c>
      <c r="AD331" s="2" t="s">
        <v>8</v>
      </c>
      <c r="AE331" s="2"/>
      <c r="AF331" s="2"/>
      <c r="AG331" s="2" t="s">
        <v>8</v>
      </c>
      <c r="AH331" s="3" t="b">
        <v>0</v>
      </c>
      <c r="AI331" s="2"/>
      <c r="AJ331" s="2"/>
      <c r="AK331" s="2"/>
      <c r="AL331" s="2"/>
      <c r="AM331" s="2"/>
      <c r="AN331" s="2" t="s">
        <v>1782</v>
      </c>
      <c r="AO331" s="2"/>
      <c r="AP331" s="2"/>
      <c r="AQ331" s="2" t="s">
        <v>251</v>
      </c>
    </row>
    <row r="332" spans="1:43" ht="210">
      <c r="A332" s="2" t="s">
        <v>25</v>
      </c>
      <c r="B332" s="2" t="s">
        <v>483</v>
      </c>
      <c r="C332" s="2" t="s">
        <v>680</v>
      </c>
      <c r="D332" s="2"/>
      <c r="E332" s="2" t="s">
        <v>185</v>
      </c>
      <c r="F332" s="2" t="s">
        <v>572</v>
      </c>
      <c r="G332" s="2" t="s">
        <v>1783</v>
      </c>
      <c r="H332" s="2">
        <v>12</v>
      </c>
      <c r="I332" s="2" t="s">
        <v>486</v>
      </c>
      <c r="J332" s="2" t="s">
        <v>1784</v>
      </c>
      <c r="K332" s="2">
        <v>12</v>
      </c>
      <c r="L332" s="2">
        <v>12</v>
      </c>
      <c r="M332" s="3" t="b">
        <v>1</v>
      </c>
      <c r="N332" s="3" t="b">
        <v>1</v>
      </c>
      <c r="O332" s="3" t="b">
        <v>1</v>
      </c>
      <c r="P332" s="2">
        <v>0</v>
      </c>
      <c r="Q332" s="2">
        <v>0</v>
      </c>
      <c r="R332" s="2">
        <v>0</v>
      </c>
      <c r="S332" s="2" t="s">
        <v>826</v>
      </c>
      <c r="T332" s="2"/>
      <c r="U332" s="2"/>
      <c r="V332" s="2" t="s">
        <v>8</v>
      </c>
      <c r="W332" s="2"/>
      <c r="X332" s="2"/>
      <c r="Y332" s="2"/>
      <c r="Z332" s="2" t="s">
        <v>8</v>
      </c>
      <c r="AA332" s="2"/>
      <c r="AB332" s="2" t="s">
        <v>8</v>
      </c>
      <c r="AC332" s="2" t="s">
        <v>8</v>
      </c>
      <c r="AD332" s="2" t="s">
        <v>8</v>
      </c>
      <c r="AE332" s="2"/>
      <c r="AF332" s="2"/>
      <c r="AG332" s="2" t="s">
        <v>8</v>
      </c>
      <c r="AH332" s="3" t="b">
        <v>0</v>
      </c>
      <c r="AI332" s="2"/>
      <c r="AJ332" s="2"/>
      <c r="AK332" s="2"/>
      <c r="AL332" s="2"/>
      <c r="AM332" s="2"/>
      <c r="AN332" s="2" t="s">
        <v>1785</v>
      </c>
      <c r="AO332" s="2"/>
      <c r="AP332" s="2"/>
      <c r="AQ332" s="2" t="s">
        <v>251</v>
      </c>
    </row>
    <row r="333" spans="1:43" ht="182">
      <c r="A333" s="2" t="s">
        <v>25</v>
      </c>
      <c r="B333" s="2" t="s">
        <v>459</v>
      </c>
      <c r="C333" s="2" t="s">
        <v>680</v>
      </c>
      <c r="D333" s="2"/>
      <c r="E333" s="2" t="s">
        <v>193</v>
      </c>
      <c r="F333" s="2" t="s">
        <v>562</v>
      </c>
      <c r="G333" s="2" t="s">
        <v>1786</v>
      </c>
      <c r="H333" s="2">
        <v>8</v>
      </c>
      <c r="I333" s="2" t="s">
        <v>462</v>
      </c>
      <c r="J333" s="2" t="s">
        <v>1787</v>
      </c>
      <c r="K333" s="2">
        <v>8</v>
      </c>
      <c r="L333" s="2">
        <v>8</v>
      </c>
      <c r="M333" s="3" t="b">
        <v>1</v>
      </c>
      <c r="N333" s="3" t="b">
        <v>1</v>
      </c>
      <c r="O333" s="3" t="b">
        <v>1</v>
      </c>
      <c r="P333" s="2">
        <v>0</v>
      </c>
      <c r="Q333" s="2">
        <v>0</v>
      </c>
      <c r="R333" s="2">
        <v>0</v>
      </c>
      <c r="S333" s="2" t="s">
        <v>826</v>
      </c>
      <c r="T333" s="2"/>
      <c r="U333" s="2"/>
      <c r="V333" s="2" t="s">
        <v>8</v>
      </c>
      <c r="W333" s="2"/>
      <c r="X333" s="2"/>
      <c r="Y333" s="2"/>
      <c r="Z333" s="2" t="s">
        <v>581</v>
      </c>
      <c r="AA333" s="2"/>
      <c r="AB333" s="2" t="s">
        <v>581</v>
      </c>
      <c r="AC333" s="2" t="s">
        <v>8</v>
      </c>
      <c r="AD333" s="2" t="s">
        <v>8</v>
      </c>
      <c r="AE333" s="2"/>
      <c r="AF333" s="2"/>
      <c r="AG333" s="2" t="s">
        <v>8</v>
      </c>
      <c r="AH333" s="3" t="b">
        <v>0</v>
      </c>
      <c r="AI333" s="2"/>
      <c r="AJ333" s="2"/>
      <c r="AK333" s="2"/>
      <c r="AL333" s="2"/>
      <c r="AM333" s="2"/>
      <c r="AN333" s="2" t="s">
        <v>1788</v>
      </c>
      <c r="AO333" s="2"/>
      <c r="AP333" s="2"/>
      <c r="AQ333" s="2" t="s">
        <v>251</v>
      </c>
    </row>
    <row r="334" spans="1:43" ht="126">
      <c r="A334" s="2" t="s">
        <v>25</v>
      </c>
      <c r="B334" s="2" t="s">
        <v>1789</v>
      </c>
      <c r="C334" s="2" t="s">
        <v>680</v>
      </c>
      <c r="D334" s="2"/>
      <c r="E334" s="2" t="s">
        <v>193</v>
      </c>
      <c r="F334" s="2" t="s">
        <v>572</v>
      </c>
      <c r="G334" s="2" t="s">
        <v>1790</v>
      </c>
      <c r="H334" s="2">
        <v>1</v>
      </c>
      <c r="I334" s="2" t="s">
        <v>1791</v>
      </c>
      <c r="J334" s="2" t="s">
        <v>1792</v>
      </c>
      <c r="K334" s="2">
        <v>1</v>
      </c>
      <c r="L334" s="2">
        <v>1</v>
      </c>
      <c r="M334" s="3" t="b">
        <v>1</v>
      </c>
      <c r="N334" s="3" t="b">
        <v>1</v>
      </c>
      <c r="O334" s="3" t="b">
        <v>1</v>
      </c>
      <c r="P334" s="2">
        <v>0</v>
      </c>
      <c r="Q334" s="2">
        <v>0</v>
      </c>
      <c r="R334" s="2">
        <v>0</v>
      </c>
      <c r="S334" s="2" t="s">
        <v>826</v>
      </c>
      <c r="T334" s="2"/>
      <c r="U334" s="2"/>
      <c r="V334" s="2" t="s">
        <v>8</v>
      </c>
      <c r="W334" s="2"/>
      <c r="X334" s="2"/>
      <c r="Y334" s="2"/>
      <c r="Z334" s="2" t="s">
        <v>8</v>
      </c>
      <c r="AA334" s="2"/>
      <c r="AB334" s="2" t="s">
        <v>8</v>
      </c>
      <c r="AC334" s="2" t="s">
        <v>8</v>
      </c>
      <c r="AD334" s="2" t="s">
        <v>8</v>
      </c>
      <c r="AE334" s="2"/>
      <c r="AF334" s="2"/>
      <c r="AG334" s="2" t="s">
        <v>8</v>
      </c>
      <c r="AH334" s="3" t="b">
        <v>0</v>
      </c>
      <c r="AI334" s="2"/>
      <c r="AJ334" s="2"/>
      <c r="AK334" s="2"/>
      <c r="AL334" s="2"/>
      <c r="AM334" s="2"/>
      <c r="AN334" s="2" t="s">
        <v>1793</v>
      </c>
      <c r="AO334" s="2"/>
      <c r="AP334" s="2"/>
      <c r="AQ334" s="2" t="s">
        <v>251</v>
      </c>
    </row>
    <row r="335" spans="1:43" ht="154">
      <c r="A335" s="2" t="s">
        <v>25</v>
      </c>
      <c r="B335" s="2" t="s">
        <v>1794</v>
      </c>
      <c r="C335" s="2" t="s">
        <v>680</v>
      </c>
      <c r="D335" s="2"/>
      <c r="E335" s="2" t="s">
        <v>193</v>
      </c>
      <c r="F335" s="2" t="s">
        <v>546</v>
      </c>
      <c r="G335" s="2" t="s">
        <v>1795</v>
      </c>
      <c r="H335" s="2">
        <v>1</v>
      </c>
      <c r="I335" s="2" t="s">
        <v>1796</v>
      </c>
      <c r="J335" s="2" t="s">
        <v>1797</v>
      </c>
      <c r="K335" s="2">
        <v>1</v>
      </c>
      <c r="L335" s="2">
        <v>1</v>
      </c>
      <c r="M335" s="3" t="b">
        <v>1</v>
      </c>
      <c r="N335" s="3" t="b">
        <v>1</v>
      </c>
      <c r="O335" s="3" t="b">
        <v>1</v>
      </c>
      <c r="P335" s="2">
        <v>0</v>
      </c>
      <c r="Q335" s="2">
        <v>0</v>
      </c>
      <c r="R335" s="2">
        <v>0</v>
      </c>
      <c r="S335" s="2" t="s">
        <v>826</v>
      </c>
      <c r="T335" s="2"/>
      <c r="U335" s="2"/>
      <c r="V335" s="2" t="s">
        <v>8</v>
      </c>
      <c r="W335" s="2"/>
      <c r="X335" s="2"/>
      <c r="Y335" s="2"/>
      <c r="Z335" s="2" t="s">
        <v>8</v>
      </c>
      <c r="AA335" s="2"/>
      <c r="AB335" s="2" t="s">
        <v>8</v>
      </c>
      <c r="AC335" s="2" t="s">
        <v>8</v>
      </c>
      <c r="AD335" s="2" t="s">
        <v>8</v>
      </c>
      <c r="AE335" s="2"/>
      <c r="AF335" s="2"/>
      <c r="AG335" s="2" t="s">
        <v>8</v>
      </c>
      <c r="AH335" s="3" t="b">
        <v>0</v>
      </c>
      <c r="AI335" s="2"/>
      <c r="AJ335" s="2"/>
      <c r="AK335" s="2"/>
      <c r="AL335" s="2"/>
      <c r="AM335" s="2"/>
      <c r="AN335" s="2" t="s">
        <v>1798</v>
      </c>
      <c r="AO335" s="2"/>
      <c r="AP335" s="2"/>
      <c r="AQ335" s="2" t="s">
        <v>251</v>
      </c>
    </row>
    <row r="336" spans="1:43" ht="154">
      <c r="A336" s="2" t="s">
        <v>25</v>
      </c>
      <c r="B336" s="2" t="s">
        <v>1799</v>
      </c>
      <c r="C336" s="2" t="s">
        <v>680</v>
      </c>
      <c r="D336" s="2"/>
      <c r="E336" s="2" t="s">
        <v>200</v>
      </c>
      <c r="F336" s="2" t="s">
        <v>546</v>
      </c>
      <c r="G336" s="2" t="s">
        <v>1800</v>
      </c>
      <c r="H336" s="2">
        <v>1</v>
      </c>
      <c r="I336" s="2" t="s">
        <v>1801</v>
      </c>
      <c r="J336" s="2" t="s">
        <v>1802</v>
      </c>
      <c r="K336" s="2">
        <v>1</v>
      </c>
      <c r="L336" s="2">
        <v>1</v>
      </c>
      <c r="M336" s="3" t="b">
        <v>1</v>
      </c>
      <c r="N336" s="3" t="b">
        <v>1</v>
      </c>
      <c r="O336" s="3" t="b">
        <v>1</v>
      </c>
      <c r="P336" s="2">
        <v>0</v>
      </c>
      <c r="Q336" s="2">
        <v>0</v>
      </c>
      <c r="R336" s="2">
        <v>0</v>
      </c>
      <c r="S336" s="2" t="s">
        <v>826</v>
      </c>
      <c r="T336" s="2"/>
      <c r="U336" s="2"/>
      <c r="V336" s="2" t="s">
        <v>8</v>
      </c>
      <c r="W336" s="2"/>
      <c r="X336" s="2"/>
      <c r="Y336" s="2"/>
      <c r="Z336" s="2" t="s">
        <v>8</v>
      </c>
      <c r="AA336" s="2"/>
      <c r="AB336" s="2" t="s">
        <v>8</v>
      </c>
      <c r="AC336" s="2" t="s">
        <v>8</v>
      </c>
      <c r="AD336" s="2" t="s">
        <v>8</v>
      </c>
      <c r="AE336" s="2"/>
      <c r="AF336" s="2"/>
      <c r="AG336" s="2" t="s">
        <v>8</v>
      </c>
      <c r="AH336" s="3" t="b">
        <v>0</v>
      </c>
      <c r="AI336" s="2"/>
      <c r="AJ336" s="2"/>
      <c r="AK336" s="2"/>
      <c r="AL336" s="2"/>
      <c r="AM336" s="2"/>
      <c r="AN336" s="2" t="s">
        <v>1803</v>
      </c>
      <c r="AO336" s="2"/>
      <c r="AP336" s="2"/>
      <c r="AQ336" s="2" t="s">
        <v>251</v>
      </c>
    </row>
    <row r="337" spans="1:43" ht="168">
      <c r="A337" s="2" t="s">
        <v>25</v>
      </c>
      <c r="B337" s="2" t="s">
        <v>1804</v>
      </c>
      <c r="C337" s="2" t="s">
        <v>680</v>
      </c>
      <c r="D337" s="2"/>
      <c r="E337" s="2" t="s">
        <v>200</v>
      </c>
      <c r="F337" s="2" t="s">
        <v>562</v>
      </c>
      <c r="G337" s="2" t="s">
        <v>1805</v>
      </c>
      <c r="H337" s="2">
        <v>4</v>
      </c>
      <c r="I337" s="2" t="s">
        <v>1806</v>
      </c>
      <c r="J337" s="2" t="s">
        <v>1807</v>
      </c>
      <c r="K337" s="2">
        <v>4</v>
      </c>
      <c r="L337" s="2">
        <v>4</v>
      </c>
      <c r="M337" s="3" t="b">
        <v>1</v>
      </c>
      <c r="N337" s="3" t="b">
        <v>1</v>
      </c>
      <c r="O337" s="3" t="b">
        <v>1</v>
      </c>
      <c r="P337" s="2">
        <v>0</v>
      </c>
      <c r="Q337" s="2">
        <v>1</v>
      </c>
      <c r="R337" s="2">
        <v>0</v>
      </c>
      <c r="S337" s="2" t="s">
        <v>826</v>
      </c>
      <c r="T337" s="2"/>
      <c r="U337" s="2"/>
      <c r="V337" s="2" t="s">
        <v>8</v>
      </c>
      <c r="W337" s="2"/>
      <c r="X337" s="2"/>
      <c r="Y337" s="2"/>
      <c r="Z337" s="2" t="s">
        <v>8</v>
      </c>
      <c r="AA337" s="2"/>
      <c r="AB337" s="2" t="s">
        <v>8</v>
      </c>
      <c r="AC337" s="2" t="s">
        <v>8</v>
      </c>
      <c r="AD337" s="2" t="s">
        <v>8</v>
      </c>
      <c r="AE337" s="2"/>
      <c r="AF337" s="2"/>
      <c r="AG337" s="2" t="s">
        <v>8</v>
      </c>
      <c r="AH337" s="3" t="b">
        <v>0</v>
      </c>
      <c r="AI337" s="2"/>
      <c r="AJ337" s="2"/>
      <c r="AK337" s="2"/>
      <c r="AL337" s="2"/>
      <c r="AM337" s="2"/>
      <c r="AN337" s="2" t="s">
        <v>1808</v>
      </c>
      <c r="AO337" s="2"/>
      <c r="AP337" s="2"/>
      <c r="AQ337" s="2" t="s">
        <v>251</v>
      </c>
    </row>
    <row r="338" spans="1:43" ht="140">
      <c r="A338" s="2" t="s">
        <v>25</v>
      </c>
      <c r="B338" s="2" t="s">
        <v>1809</v>
      </c>
      <c r="C338" s="2" t="s">
        <v>680</v>
      </c>
      <c r="D338" s="2"/>
      <c r="E338" s="2" t="s">
        <v>193</v>
      </c>
      <c r="F338" s="2" t="s">
        <v>562</v>
      </c>
      <c r="G338" s="2" t="s">
        <v>1810</v>
      </c>
      <c r="H338" s="2">
        <v>2</v>
      </c>
      <c r="I338" s="2" t="s">
        <v>1811</v>
      </c>
      <c r="J338" s="2" t="s">
        <v>1812</v>
      </c>
      <c r="K338" s="2">
        <v>2</v>
      </c>
      <c r="L338" s="2">
        <v>2</v>
      </c>
      <c r="M338" s="3" t="b">
        <v>1</v>
      </c>
      <c r="N338" s="3" t="b">
        <v>1</v>
      </c>
      <c r="O338" s="3" t="b">
        <v>1</v>
      </c>
      <c r="P338" s="2">
        <v>0</v>
      </c>
      <c r="Q338" s="2">
        <v>0</v>
      </c>
      <c r="R338" s="2">
        <v>4</v>
      </c>
      <c r="S338" s="2" t="s">
        <v>1813</v>
      </c>
      <c r="T338" s="2"/>
      <c r="U338" s="2"/>
      <c r="V338" s="2" t="s">
        <v>8</v>
      </c>
      <c r="W338" s="2"/>
      <c r="X338" s="2"/>
      <c r="Y338" s="2"/>
      <c r="Z338" s="2" t="s">
        <v>8</v>
      </c>
      <c r="AA338" s="2"/>
      <c r="AB338" s="2" t="s">
        <v>8</v>
      </c>
      <c r="AC338" s="2" t="s">
        <v>8</v>
      </c>
      <c r="AD338" s="2" t="s">
        <v>8</v>
      </c>
      <c r="AE338" s="2"/>
      <c r="AF338" s="2"/>
      <c r="AG338" s="2" t="s">
        <v>8</v>
      </c>
      <c r="AH338" s="3" t="b">
        <v>0</v>
      </c>
      <c r="AI338" s="2"/>
      <c r="AJ338" s="2"/>
      <c r="AK338" s="2"/>
      <c r="AL338" s="2"/>
      <c r="AM338" s="2"/>
      <c r="AN338" s="2" t="s">
        <v>1814</v>
      </c>
      <c r="AO338" s="2"/>
      <c r="AP338" s="2"/>
      <c r="AQ338" s="2" t="s">
        <v>251</v>
      </c>
    </row>
    <row r="339" spans="1:43" ht="98">
      <c r="A339" s="2" t="s">
        <v>25</v>
      </c>
      <c r="B339" s="2" t="s">
        <v>499</v>
      </c>
      <c r="C339" s="2" t="s">
        <v>680</v>
      </c>
      <c r="D339" s="2"/>
      <c r="E339" s="2" t="s">
        <v>233</v>
      </c>
      <c r="F339" s="2" t="s">
        <v>562</v>
      </c>
      <c r="G339" s="2" t="s">
        <v>1815</v>
      </c>
      <c r="H339" s="2" t="s">
        <v>900</v>
      </c>
      <c r="I339" s="2" t="s">
        <v>502</v>
      </c>
      <c r="J339" s="2" t="s">
        <v>1816</v>
      </c>
      <c r="K339" s="2" t="s">
        <v>900</v>
      </c>
      <c r="L339" s="2" t="s">
        <v>900</v>
      </c>
      <c r="M339" s="2" t="s">
        <v>900</v>
      </c>
      <c r="N339" s="2" t="s">
        <v>900</v>
      </c>
      <c r="O339" s="3" t="b">
        <v>1</v>
      </c>
      <c r="P339" s="2" t="s">
        <v>900</v>
      </c>
      <c r="Q339" s="2" t="s">
        <v>900</v>
      </c>
      <c r="R339" s="2" t="s">
        <v>900</v>
      </c>
      <c r="S339" s="2" t="s">
        <v>900</v>
      </c>
      <c r="T339" s="2" t="s">
        <v>900</v>
      </c>
      <c r="U339" s="2"/>
      <c r="V339" s="2" t="s">
        <v>8</v>
      </c>
      <c r="W339" s="2"/>
      <c r="X339" s="2"/>
      <c r="Y339" s="2"/>
      <c r="Z339" s="2" t="s">
        <v>8</v>
      </c>
      <c r="AA339" s="2"/>
      <c r="AB339" s="2" t="s">
        <v>8</v>
      </c>
      <c r="AC339" s="2" t="s">
        <v>8</v>
      </c>
      <c r="AD339" s="2" t="s">
        <v>8</v>
      </c>
      <c r="AE339" s="2"/>
      <c r="AF339" s="2"/>
      <c r="AG339" s="2" t="s">
        <v>8</v>
      </c>
      <c r="AH339" s="3" t="b">
        <v>0</v>
      </c>
      <c r="AI339" s="2"/>
      <c r="AJ339" s="2"/>
      <c r="AK339" s="2"/>
      <c r="AL339" s="2"/>
      <c r="AM339" s="2"/>
      <c r="AN339" s="2" t="s">
        <v>1817</v>
      </c>
      <c r="AO339" s="2"/>
      <c r="AP339" s="2"/>
      <c r="AQ339" s="2" t="s">
        <v>251</v>
      </c>
    </row>
    <row r="340" spans="1:43" ht="182">
      <c r="A340" s="2" t="s">
        <v>25</v>
      </c>
      <c r="B340" s="2" t="s">
        <v>245</v>
      </c>
      <c r="C340" s="2" t="s">
        <v>680</v>
      </c>
      <c r="D340" s="2"/>
      <c r="E340" s="2" t="s">
        <v>193</v>
      </c>
      <c r="F340" s="2" t="s">
        <v>546</v>
      </c>
      <c r="G340" s="2" t="s">
        <v>247</v>
      </c>
      <c r="H340" s="2">
        <v>1</v>
      </c>
      <c r="I340" s="2" t="s">
        <v>1818</v>
      </c>
      <c r="J340" s="2" t="s">
        <v>1819</v>
      </c>
      <c r="K340" s="2">
        <v>1</v>
      </c>
      <c r="L340" s="2">
        <v>1</v>
      </c>
      <c r="M340" s="3" t="b">
        <v>1</v>
      </c>
      <c r="N340" s="3" t="b">
        <v>1</v>
      </c>
      <c r="O340" s="3" t="b">
        <v>1</v>
      </c>
      <c r="P340" s="2">
        <v>0</v>
      </c>
      <c r="Q340" s="2">
        <v>0</v>
      </c>
      <c r="R340" s="2">
        <v>0</v>
      </c>
      <c r="S340" s="2" t="s">
        <v>826</v>
      </c>
      <c r="T340" s="2"/>
      <c r="U340" s="2"/>
      <c r="V340" s="2" t="s">
        <v>8</v>
      </c>
      <c r="W340" s="2"/>
      <c r="X340" s="2"/>
      <c r="Y340" s="2"/>
      <c r="Z340" s="2" t="s">
        <v>10</v>
      </c>
      <c r="AA340" s="2"/>
      <c r="AB340" s="2" t="s">
        <v>10</v>
      </c>
      <c r="AC340" s="2" t="s">
        <v>10</v>
      </c>
      <c r="AD340" s="2" t="s">
        <v>550</v>
      </c>
      <c r="AE340" s="2"/>
      <c r="AF340" s="2"/>
      <c r="AG340" s="2" t="s">
        <v>10</v>
      </c>
      <c r="AH340" s="3" t="b">
        <v>1</v>
      </c>
      <c r="AI340" s="2"/>
      <c r="AJ340" s="2"/>
      <c r="AK340" s="2"/>
      <c r="AL340" s="2"/>
      <c r="AM340" s="2"/>
      <c r="AN340" s="2" t="s">
        <v>1820</v>
      </c>
      <c r="AO340" s="2"/>
      <c r="AP340" s="2"/>
      <c r="AQ340" s="2" t="s">
        <v>251</v>
      </c>
    </row>
    <row r="341" spans="1:43" ht="238">
      <c r="A341" s="2" t="s">
        <v>25</v>
      </c>
      <c r="B341" s="2" t="s">
        <v>487</v>
      </c>
      <c r="C341" s="2" t="s">
        <v>680</v>
      </c>
      <c r="D341" s="2"/>
      <c r="E341" s="2" t="s">
        <v>185</v>
      </c>
      <c r="F341" s="2" t="s">
        <v>562</v>
      </c>
      <c r="G341" s="2" t="s">
        <v>1821</v>
      </c>
      <c r="H341" s="2">
        <v>1</v>
      </c>
      <c r="I341" s="2" t="s">
        <v>490</v>
      </c>
      <c r="J341" s="2" t="s">
        <v>1822</v>
      </c>
      <c r="K341" s="2">
        <v>1</v>
      </c>
      <c r="L341" s="2">
        <v>1</v>
      </c>
      <c r="M341" s="3" t="b">
        <v>1</v>
      </c>
      <c r="N341" s="3" t="b">
        <v>1</v>
      </c>
      <c r="O341" s="3" t="b">
        <v>1</v>
      </c>
      <c r="P341" s="2">
        <v>0</v>
      </c>
      <c r="Q341" s="2">
        <v>0</v>
      </c>
      <c r="R341" s="2">
        <v>0</v>
      </c>
      <c r="S341" s="2" t="s">
        <v>826</v>
      </c>
      <c r="T341" s="2"/>
      <c r="U341" s="2"/>
      <c r="V341" s="2" t="s">
        <v>8</v>
      </c>
      <c r="W341" s="2"/>
      <c r="X341" s="2"/>
      <c r="Y341" s="2"/>
      <c r="Z341" s="2" t="s">
        <v>8</v>
      </c>
      <c r="AA341" s="2"/>
      <c r="AB341" s="2" t="s">
        <v>8</v>
      </c>
      <c r="AC341" s="2" t="s">
        <v>8</v>
      </c>
      <c r="AD341" s="2" t="s">
        <v>8</v>
      </c>
      <c r="AE341" s="2"/>
      <c r="AF341" s="2"/>
      <c r="AG341" s="2" t="s">
        <v>8</v>
      </c>
      <c r="AH341" s="3" t="b">
        <v>0</v>
      </c>
      <c r="AI341" s="2"/>
      <c r="AJ341" s="2"/>
      <c r="AK341" s="2"/>
      <c r="AL341" s="2"/>
      <c r="AM341" s="2"/>
      <c r="AN341" s="2" t="s">
        <v>1823</v>
      </c>
      <c r="AO341" s="2"/>
      <c r="AP341" s="2"/>
      <c r="AQ341" s="2" t="s">
        <v>251</v>
      </c>
    </row>
    <row r="342" spans="1:43" ht="182">
      <c r="A342" s="2" t="s">
        <v>25</v>
      </c>
      <c r="B342" s="2" t="s">
        <v>252</v>
      </c>
      <c r="C342" s="2" t="s">
        <v>680</v>
      </c>
      <c r="D342" s="2"/>
      <c r="E342" s="2" t="s">
        <v>193</v>
      </c>
      <c r="F342" s="2" t="s">
        <v>562</v>
      </c>
      <c r="G342" s="2" t="s">
        <v>254</v>
      </c>
      <c r="H342" s="2">
        <v>4</v>
      </c>
      <c r="I342" s="2" t="s">
        <v>1824</v>
      </c>
      <c r="J342" s="2" t="s">
        <v>1825</v>
      </c>
      <c r="K342" s="2">
        <v>4</v>
      </c>
      <c r="L342" s="2">
        <v>4</v>
      </c>
      <c r="M342" s="3" t="b">
        <v>1</v>
      </c>
      <c r="N342" s="3" t="b">
        <v>1</v>
      </c>
      <c r="O342" s="3" t="b">
        <v>1</v>
      </c>
      <c r="P342" s="2">
        <v>0</v>
      </c>
      <c r="Q342" s="2">
        <v>0</v>
      </c>
      <c r="R342" s="2">
        <v>0</v>
      </c>
      <c r="S342" s="2" t="s">
        <v>826</v>
      </c>
      <c r="T342" s="2"/>
      <c r="U342" s="2"/>
      <c r="V342" s="2" t="s">
        <v>8</v>
      </c>
      <c r="W342" s="2"/>
      <c r="X342" s="2"/>
      <c r="Y342" s="2"/>
      <c r="Z342" s="2" t="s">
        <v>10</v>
      </c>
      <c r="AA342" s="2"/>
      <c r="AB342" s="2" t="s">
        <v>10</v>
      </c>
      <c r="AC342" s="2" t="s">
        <v>10</v>
      </c>
      <c r="AD342" s="2" t="s">
        <v>550</v>
      </c>
      <c r="AE342" s="2"/>
      <c r="AF342" s="2"/>
      <c r="AG342" s="2" t="s">
        <v>10</v>
      </c>
      <c r="AH342" s="3" t="b">
        <v>1</v>
      </c>
      <c r="AI342" s="2"/>
      <c r="AJ342" s="2"/>
      <c r="AK342" s="2"/>
      <c r="AL342" s="2"/>
      <c r="AM342" s="2"/>
      <c r="AN342" s="2" t="s">
        <v>1826</v>
      </c>
      <c r="AO342" s="2"/>
      <c r="AP342" s="2"/>
      <c r="AQ342" s="2" t="s">
        <v>251</v>
      </c>
    </row>
    <row r="343" spans="1:43" ht="98">
      <c r="A343" s="2" t="s">
        <v>25</v>
      </c>
      <c r="B343" s="2" t="s">
        <v>1827</v>
      </c>
      <c r="C343" s="2" t="s">
        <v>680</v>
      </c>
      <c r="D343" s="2"/>
      <c r="E343" s="2" t="s">
        <v>233</v>
      </c>
      <c r="F343" s="2" t="s">
        <v>546</v>
      </c>
      <c r="G343" s="2" t="s">
        <v>1828</v>
      </c>
      <c r="H343" s="2" t="s">
        <v>900</v>
      </c>
      <c r="I343" s="2" t="s">
        <v>1829</v>
      </c>
      <c r="J343" s="2" t="s">
        <v>1830</v>
      </c>
      <c r="K343" s="2" t="s">
        <v>900</v>
      </c>
      <c r="L343" s="2" t="s">
        <v>900</v>
      </c>
      <c r="M343" s="2" t="s">
        <v>900</v>
      </c>
      <c r="N343" s="2" t="s">
        <v>900</v>
      </c>
      <c r="O343" s="3" t="b">
        <v>1</v>
      </c>
      <c r="P343" s="2" t="s">
        <v>900</v>
      </c>
      <c r="Q343" s="2" t="s">
        <v>900</v>
      </c>
      <c r="R343" s="2" t="s">
        <v>900</v>
      </c>
      <c r="S343" s="2" t="s">
        <v>900</v>
      </c>
      <c r="T343" s="2" t="s">
        <v>900</v>
      </c>
      <c r="U343" s="2"/>
      <c r="V343" s="2" t="s">
        <v>8</v>
      </c>
      <c r="W343" s="2"/>
      <c r="X343" s="2"/>
      <c r="Y343" s="2"/>
      <c r="Z343" s="2" t="s">
        <v>8</v>
      </c>
      <c r="AA343" s="2"/>
      <c r="AB343" s="2" t="s">
        <v>8</v>
      </c>
      <c r="AC343" s="2" t="s">
        <v>8</v>
      </c>
      <c r="AD343" s="2" t="s">
        <v>8</v>
      </c>
      <c r="AE343" s="2"/>
      <c r="AF343" s="2"/>
      <c r="AG343" s="2" t="s">
        <v>8</v>
      </c>
      <c r="AH343" s="3" t="b">
        <v>0</v>
      </c>
      <c r="AI343" s="2"/>
      <c r="AJ343" s="2"/>
      <c r="AK343" s="2"/>
      <c r="AL343" s="2"/>
      <c r="AM343" s="2"/>
      <c r="AN343" s="2" t="s">
        <v>1831</v>
      </c>
      <c r="AO343" s="2"/>
      <c r="AP343" s="2"/>
      <c r="AQ343" s="2" t="s">
        <v>251</v>
      </c>
    </row>
    <row r="344" spans="1:43" ht="84">
      <c r="A344" s="2" t="s">
        <v>25</v>
      </c>
      <c r="B344" s="2" t="s">
        <v>1832</v>
      </c>
      <c r="C344" s="2" t="s">
        <v>680</v>
      </c>
      <c r="D344" s="2"/>
      <c r="E344" s="2" t="s">
        <v>233</v>
      </c>
      <c r="F344" s="2" t="s">
        <v>546</v>
      </c>
      <c r="G344" s="2" t="s">
        <v>1833</v>
      </c>
      <c r="H344" s="2" t="s">
        <v>900</v>
      </c>
      <c r="I344" s="2" t="s">
        <v>1834</v>
      </c>
      <c r="J344" s="2" t="s">
        <v>1835</v>
      </c>
      <c r="K344" s="2" t="s">
        <v>900</v>
      </c>
      <c r="L344" s="2" t="s">
        <v>900</v>
      </c>
      <c r="M344" s="2" t="s">
        <v>900</v>
      </c>
      <c r="N344" s="2" t="s">
        <v>900</v>
      </c>
      <c r="O344" s="3" t="b">
        <v>1</v>
      </c>
      <c r="P344" s="2" t="s">
        <v>900</v>
      </c>
      <c r="Q344" s="2" t="s">
        <v>900</v>
      </c>
      <c r="R344" s="2" t="s">
        <v>900</v>
      </c>
      <c r="S344" s="2" t="s">
        <v>900</v>
      </c>
      <c r="T344" s="2" t="s">
        <v>900</v>
      </c>
      <c r="U344" s="2"/>
      <c r="V344" s="2" t="s">
        <v>8</v>
      </c>
      <c r="W344" s="2"/>
      <c r="X344" s="2"/>
      <c r="Y344" s="2"/>
      <c r="Z344" s="2" t="s">
        <v>8</v>
      </c>
      <c r="AA344" s="2"/>
      <c r="AB344" s="2" t="s">
        <v>8</v>
      </c>
      <c r="AC344" s="2" t="s">
        <v>8</v>
      </c>
      <c r="AD344" s="2" t="s">
        <v>8</v>
      </c>
      <c r="AE344" s="2"/>
      <c r="AF344" s="2"/>
      <c r="AG344" s="2" t="s">
        <v>8</v>
      </c>
      <c r="AH344" s="3" t="b">
        <v>0</v>
      </c>
      <c r="AI344" s="2"/>
      <c r="AJ344" s="2"/>
      <c r="AK344" s="2"/>
      <c r="AL344" s="2"/>
      <c r="AM344" s="2"/>
      <c r="AN344" s="2" t="s">
        <v>1836</v>
      </c>
      <c r="AO344" s="2"/>
      <c r="AP344" s="2"/>
      <c r="AQ344" s="2" t="s">
        <v>251</v>
      </c>
    </row>
    <row r="345" spans="1:43" ht="56">
      <c r="A345" s="2" t="s">
        <v>25</v>
      </c>
      <c r="B345" s="2" t="s">
        <v>1837</v>
      </c>
      <c r="C345" s="2" t="s">
        <v>680</v>
      </c>
      <c r="D345" s="2"/>
      <c r="E345" s="2" t="s">
        <v>233</v>
      </c>
      <c r="F345" s="2" t="s">
        <v>562</v>
      </c>
      <c r="G345" s="2" t="s">
        <v>1838</v>
      </c>
      <c r="H345" s="2" t="s">
        <v>900</v>
      </c>
      <c r="I345" s="2" t="s">
        <v>1839</v>
      </c>
      <c r="J345" s="2" t="s">
        <v>1840</v>
      </c>
      <c r="K345" s="2" t="s">
        <v>900</v>
      </c>
      <c r="L345" s="2" t="s">
        <v>900</v>
      </c>
      <c r="M345" s="2" t="s">
        <v>900</v>
      </c>
      <c r="N345" s="2" t="s">
        <v>900</v>
      </c>
      <c r="O345" s="3" t="b">
        <v>1</v>
      </c>
      <c r="P345" s="2" t="s">
        <v>900</v>
      </c>
      <c r="Q345" s="2" t="s">
        <v>900</v>
      </c>
      <c r="R345" s="2" t="s">
        <v>900</v>
      </c>
      <c r="S345" s="2" t="s">
        <v>900</v>
      </c>
      <c r="T345" s="2" t="s">
        <v>900</v>
      </c>
      <c r="U345" s="2"/>
      <c r="V345" s="2" t="s">
        <v>8</v>
      </c>
      <c r="W345" s="2"/>
      <c r="X345" s="2"/>
      <c r="Y345" s="2"/>
      <c r="Z345" s="2" t="s">
        <v>8</v>
      </c>
      <c r="AA345" s="2"/>
      <c r="AB345" s="2" t="s">
        <v>8</v>
      </c>
      <c r="AC345" s="2" t="s">
        <v>8</v>
      </c>
      <c r="AD345" s="2" t="s">
        <v>8</v>
      </c>
      <c r="AE345" s="2"/>
      <c r="AF345" s="2"/>
      <c r="AG345" s="2" t="s">
        <v>8</v>
      </c>
      <c r="AH345" s="3" t="b">
        <v>0</v>
      </c>
      <c r="AI345" s="2"/>
      <c r="AJ345" s="2"/>
      <c r="AK345" s="2"/>
      <c r="AL345" s="2"/>
      <c r="AM345" s="2"/>
      <c r="AN345" s="2" t="s">
        <v>1841</v>
      </c>
      <c r="AO345" s="2"/>
      <c r="AP345" s="2"/>
      <c r="AQ345" s="2" t="s">
        <v>251</v>
      </c>
    </row>
    <row r="346" spans="1:43" ht="126">
      <c r="A346" s="2" t="s">
        <v>25</v>
      </c>
      <c r="B346" s="2" t="s">
        <v>503</v>
      </c>
      <c r="C346" s="2" t="s">
        <v>680</v>
      </c>
      <c r="D346" s="2"/>
      <c r="E346" s="2" t="s">
        <v>233</v>
      </c>
      <c r="F346" s="2" t="s">
        <v>572</v>
      </c>
      <c r="G346" s="2" t="s">
        <v>1842</v>
      </c>
      <c r="H346" s="2" t="s">
        <v>900</v>
      </c>
      <c r="I346" s="2" t="s">
        <v>506</v>
      </c>
      <c r="J346" s="2" t="s">
        <v>1843</v>
      </c>
      <c r="K346" s="2" t="s">
        <v>900</v>
      </c>
      <c r="L346" s="2" t="s">
        <v>900</v>
      </c>
      <c r="M346" s="2" t="s">
        <v>900</v>
      </c>
      <c r="N346" s="2" t="s">
        <v>900</v>
      </c>
      <c r="O346" s="3" t="b">
        <v>1</v>
      </c>
      <c r="P346" s="2" t="s">
        <v>900</v>
      </c>
      <c r="Q346" s="2" t="s">
        <v>900</v>
      </c>
      <c r="R346" s="2" t="s">
        <v>900</v>
      </c>
      <c r="S346" s="2" t="s">
        <v>900</v>
      </c>
      <c r="T346" s="2" t="s">
        <v>900</v>
      </c>
      <c r="U346" s="2"/>
      <c r="V346" s="2" t="s">
        <v>8</v>
      </c>
      <c r="W346" s="2"/>
      <c r="X346" s="2"/>
      <c r="Y346" s="2"/>
      <c r="Z346" s="2" t="s">
        <v>8</v>
      </c>
      <c r="AA346" s="2"/>
      <c r="AB346" s="2" t="s">
        <v>8</v>
      </c>
      <c r="AC346" s="2" t="s">
        <v>8</v>
      </c>
      <c r="AD346" s="2" t="s">
        <v>8</v>
      </c>
      <c r="AE346" s="2"/>
      <c r="AF346" s="2"/>
      <c r="AG346" s="2" t="s">
        <v>8</v>
      </c>
      <c r="AH346" s="3" t="b">
        <v>0</v>
      </c>
      <c r="AI346" s="2"/>
      <c r="AJ346" s="2"/>
      <c r="AK346" s="2"/>
      <c r="AL346" s="2"/>
      <c r="AM346" s="2"/>
      <c r="AN346" s="2" t="s">
        <v>1844</v>
      </c>
      <c r="AO346" s="2"/>
      <c r="AP346" s="2"/>
      <c r="AQ346" s="2" t="s">
        <v>251</v>
      </c>
    </row>
    <row r="347" spans="1:43" ht="140">
      <c r="A347" s="2" t="s">
        <v>25</v>
      </c>
      <c r="B347" s="2" t="s">
        <v>1845</v>
      </c>
      <c r="C347" s="2" t="s">
        <v>680</v>
      </c>
      <c r="D347" s="2"/>
      <c r="E347" s="2" t="s">
        <v>233</v>
      </c>
      <c r="F347" s="2" t="s">
        <v>562</v>
      </c>
      <c r="G347" s="2" t="s">
        <v>1846</v>
      </c>
      <c r="H347" s="2" t="s">
        <v>900</v>
      </c>
      <c r="I347" s="2" t="s">
        <v>1847</v>
      </c>
      <c r="J347" s="2" t="s">
        <v>1848</v>
      </c>
      <c r="K347" s="2" t="s">
        <v>900</v>
      </c>
      <c r="L347" s="2" t="s">
        <v>900</v>
      </c>
      <c r="M347" s="2" t="s">
        <v>900</v>
      </c>
      <c r="N347" s="2" t="s">
        <v>900</v>
      </c>
      <c r="O347" s="3" t="b">
        <v>1</v>
      </c>
      <c r="P347" s="2" t="s">
        <v>900</v>
      </c>
      <c r="Q347" s="2" t="s">
        <v>900</v>
      </c>
      <c r="R347" s="2" t="s">
        <v>900</v>
      </c>
      <c r="S347" s="2" t="s">
        <v>900</v>
      </c>
      <c r="T347" s="2" t="s">
        <v>900</v>
      </c>
      <c r="U347" s="2"/>
      <c r="V347" s="2" t="s">
        <v>8</v>
      </c>
      <c r="W347" s="2"/>
      <c r="X347" s="2"/>
      <c r="Y347" s="2"/>
      <c r="Z347" s="2" t="s">
        <v>8</v>
      </c>
      <c r="AA347" s="2"/>
      <c r="AB347" s="2" t="s">
        <v>8</v>
      </c>
      <c r="AC347" s="2" t="s">
        <v>8</v>
      </c>
      <c r="AD347" s="2" t="s">
        <v>8</v>
      </c>
      <c r="AE347" s="2"/>
      <c r="AF347" s="2"/>
      <c r="AG347" s="2" t="s">
        <v>8</v>
      </c>
      <c r="AH347" s="3" t="b">
        <v>0</v>
      </c>
      <c r="AI347" s="2"/>
      <c r="AJ347" s="2"/>
      <c r="AK347" s="2"/>
      <c r="AL347" s="2"/>
      <c r="AM347" s="2"/>
      <c r="AN347" s="2" t="s">
        <v>1849</v>
      </c>
      <c r="AO347" s="2"/>
      <c r="AP347" s="2"/>
      <c r="AQ347" s="2" t="s">
        <v>251</v>
      </c>
    </row>
    <row r="348" spans="1:43" ht="168">
      <c r="A348" s="2" t="s">
        <v>25</v>
      </c>
      <c r="B348" s="2" t="s">
        <v>1850</v>
      </c>
      <c r="C348" s="2" t="s">
        <v>680</v>
      </c>
      <c r="D348" s="2"/>
      <c r="E348" s="2" t="s">
        <v>193</v>
      </c>
      <c r="F348" s="2" t="s">
        <v>572</v>
      </c>
      <c r="G348" s="2" t="s">
        <v>1851</v>
      </c>
      <c r="H348" s="2">
        <v>12</v>
      </c>
      <c r="I348" s="2" t="s">
        <v>1852</v>
      </c>
      <c r="J348" s="2" t="s">
        <v>1853</v>
      </c>
      <c r="K348" s="2">
        <v>12</v>
      </c>
      <c r="L348" s="2">
        <v>12</v>
      </c>
      <c r="M348" s="3" t="b">
        <v>1</v>
      </c>
      <c r="N348" s="3" t="b">
        <v>1</v>
      </c>
      <c r="O348" s="3" t="b">
        <v>1</v>
      </c>
      <c r="P348" s="2">
        <v>0</v>
      </c>
      <c r="Q348" s="2">
        <v>0</v>
      </c>
      <c r="R348" s="2">
        <v>10</v>
      </c>
      <c r="S348" s="2" t="s">
        <v>1854</v>
      </c>
      <c r="T348" s="2"/>
      <c r="U348" s="2"/>
      <c r="V348" s="2" t="s">
        <v>8</v>
      </c>
      <c r="W348" s="2"/>
      <c r="X348" s="2"/>
      <c r="Y348" s="2"/>
      <c r="Z348" s="2" t="s">
        <v>8</v>
      </c>
      <c r="AA348" s="2"/>
      <c r="AB348" s="2" t="s">
        <v>8</v>
      </c>
      <c r="AC348" s="2" t="s">
        <v>8</v>
      </c>
      <c r="AD348" s="2" t="s">
        <v>550</v>
      </c>
      <c r="AE348" s="2"/>
      <c r="AF348" s="2"/>
      <c r="AG348" s="2" t="s">
        <v>8</v>
      </c>
      <c r="AH348" s="3" t="b">
        <v>0</v>
      </c>
      <c r="AI348" s="2"/>
      <c r="AJ348" s="2"/>
      <c r="AK348" s="2"/>
      <c r="AL348" s="2"/>
      <c r="AM348" s="2"/>
      <c r="AN348" s="2" t="s">
        <v>1855</v>
      </c>
      <c r="AO348" s="2"/>
      <c r="AP348" s="2"/>
      <c r="AQ348" s="2" t="s">
        <v>251</v>
      </c>
    </row>
    <row r="349" spans="1:43" ht="168">
      <c r="A349" s="2" t="s">
        <v>25</v>
      </c>
      <c r="B349" s="2" t="s">
        <v>1856</v>
      </c>
      <c r="C349" s="2" t="s">
        <v>680</v>
      </c>
      <c r="D349" s="2"/>
      <c r="E349" s="2" t="s">
        <v>200</v>
      </c>
      <c r="F349" s="2" t="s">
        <v>562</v>
      </c>
      <c r="G349" s="2" t="s">
        <v>1857</v>
      </c>
      <c r="H349" s="2">
        <v>200</v>
      </c>
      <c r="I349" s="2" t="s">
        <v>1858</v>
      </c>
      <c r="J349" s="2" t="s">
        <v>1859</v>
      </c>
      <c r="K349" s="2">
        <v>200</v>
      </c>
      <c r="L349" s="2">
        <v>200</v>
      </c>
      <c r="M349" s="3" t="b">
        <v>1</v>
      </c>
      <c r="N349" s="3" t="b">
        <v>1</v>
      </c>
      <c r="O349" s="3" t="b">
        <v>1</v>
      </c>
      <c r="P349" s="2">
        <v>0</v>
      </c>
      <c r="Q349" s="2">
        <v>0</v>
      </c>
      <c r="R349" s="2">
        <v>0</v>
      </c>
      <c r="S349" s="2" t="s">
        <v>826</v>
      </c>
      <c r="T349" s="2"/>
      <c r="U349" s="2"/>
      <c r="V349" s="2" t="s">
        <v>8</v>
      </c>
      <c r="W349" s="2"/>
      <c r="X349" s="2"/>
      <c r="Y349" s="2"/>
      <c r="Z349" s="2" t="s">
        <v>8</v>
      </c>
      <c r="AA349" s="2"/>
      <c r="AB349" s="2" t="s">
        <v>8</v>
      </c>
      <c r="AC349" s="2" t="s">
        <v>8</v>
      </c>
      <c r="AD349" s="2" t="s">
        <v>8</v>
      </c>
      <c r="AE349" s="2"/>
      <c r="AF349" s="2"/>
      <c r="AG349" s="2" t="s">
        <v>8</v>
      </c>
      <c r="AH349" s="3" t="b">
        <v>0</v>
      </c>
      <c r="AI349" s="2"/>
      <c r="AJ349" s="2"/>
      <c r="AK349" s="2"/>
      <c r="AL349" s="2"/>
      <c r="AM349" s="2"/>
      <c r="AN349" s="2" t="s">
        <v>1860</v>
      </c>
      <c r="AO349" s="2"/>
      <c r="AP349" s="2"/>
      <c r="AQ349" s="2" t="s">
        <v>251</v>
      </c>
    </row>
    <row r="350" spans="1:43" ht="238">
      <c r="A350" s="2" t="s">
        <v>25</v>
      </c>
      <c r="B350" s="2" t="s">
        <v>491</v>
      </c>
      <c r="C350" s="2" t="s">
        <v>680</v>
      </c>
      <c r="D350" s="2"/>
      <c r="E350" s="2" t="s">
        <v>185</v>
      </c>
      <c r="F350" s="2" t="s">
        <v>562</v>
      </c>
      <c r="G350" s="2" t="s">
        <v>1861</v>
      </c>
      <c r="H350" s="2">
        <v>1424</v>
      </c>
      <c r="I350" s="2" t="s">
        <v>494</v>
      </c>
      <c r="J350" s="2" t="s">
        <v>1862</v>
      </c>
      <c r="K350" s="2">
        <v>1424</v>
      </c>
      <c r="L350" s="2">
        <v>1424</v>
      </c>
      <c r="M350" s="3" t="b">
        <v>1</v>
      </c>
      <c r="N350" s="3" t="b">
        <v>1</v>
      </c>
      <c r="O350" s="3" t="b">
        <v>1</v>
      </c>
      <c r="P350" s="2">
        <v>0</v>
      </c>
      <c r="Q350" s="2">
        <v>0</v>
      </c>
      <c r="R350" s="2">
        <v>0</v>
      </c>
      <c r="S350" s="2" t="s">
        <v>826</v>
      </c>
      <c r="T350" s="2"/>
      <c r="U350" s="2"/>
      <c r="V350" s="2" t="s">
        <v>8</v>
      </c>
      <c r="W350" s="2"/>
      <c r="X350" s="2"/>
      <c r="Y350" s="2"/>
      <c r="Z350" s="2" t="s">
        <v>8</v>
      </c>
      <c r="AA350" s="2"/>
      <c r="AB350" s="2" t="s">
        <v>8</v>
      </c>
      <c r="AC350" s="2" t="s">
        <v>8</v>
      </c>
      <c r="AD350" s="2" t="s">
        <v>8</v>
      </c>
      <c r="AE350" s="2"/>
      <c r="AF350" s="2"/>
      <c r="AG350" s="2" t="s">
        <v>8</v>
      </c>
      <c r="AH350" s="3" t="b">
        <v>0</v>
      </c>
      <c r="AI350" s="2"/>
      <c r="AJ350" s="2"/>
      <c r="AK350" s="2"/>
      <c r="AL350" s="2"/>
      <c r="AM350" s="2"/>
      <c r="AN350" s="2" t="s">
        <v>1863</v>
      </c>
      <c r="AO350" s="2"/>
      <c r="AP350" s="2"/>
      <c r="AQ350" s="2" t="s">
        <v>251</v>
      </c>
    </row>
  </sheetData>
  <conditionalFormatting sqref="AG2:AG350">
    <cfRule type="expression" dxfId="3" priority="1">
      <formula>OR(AG2="Fail",AG2="Mismatch")</formula>
    </cfRule>
    <cfRule type="expression" dxfId="2" priority="2">
      <formula>OR(AG2="Pass",AG2="Match",AG2="Valid refusal")</formula>
    </cfRule>
    <cfRule type="expression" dxfId="1" priority="3">
      <formula>AG2="Pass with note"</formula>
    </cfRule>
    <cfRule type="expression" dxfId="0" priority="4">
      <formula>OR(AG2="Reference-only",AG2="Requires manual semantic review")</formula>
    </cfRule>
  </conditionalFormatting>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Executive Summary</vt:lpstr>
      <vt:lpstr>Error Register</vt:lpstr>
      <vt:lpstr>Review Notes</vt:lpstr>
      <vt:lpstr>All Query Reviews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Dilani Gunathilaka Mapitigamage</dc:creator>
  <cp:keywords/>
  <dc:description/>
  <cp:lastModifiedBy>Dilani Gunathilaka Mapitigamage (24807169)</cp:lastModifiedBy>
  <cp:revision/>
  <dcterms:created xsi:type="dcterms:W3CDTF">2026-09-28T10:17:24Z</dcterms:created>
  <dcterms:modified xsi:type="dcterms:W3CDTF">2026-10-13T11:08:00Z</dcterms:modified>
  <cp:category/>
  <cp:contentStatus/>
</cp:coreProperties>
</file>